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rootforest.com\SAS\USPBY1\Projects\SMD_Quantum_Programs\BOBQAT2\Data_Library\Tech_Content\GSEE\Utility_spreadsheet_DMRG_compute_time\"/>
    </mc:Choice>
  </mc:AlternateContent>
  <xr:revisionPtr revIDLastSave="0" documentId="13_ncr:1_{B6B84CD2-8F7E-4EDB-ABF0-537A44A811DD}" xr6:coauthVersionLast="47" xr6:coauthVersionMax="47" xr10:uidLastSave="{00000000-0000-0000-0000-000000000000}"/>
  <bookViews>
    <workbookView xWindow="-120" yWindow="-120" windowWidth="29040" windowHeight="15720" xr2:uid="{7B9F5FC9-06A6-D243-B7D0-79FAEA84BB22}"/>
  </bookViews>
  <sheets>
    <sheet name="README" sheetId="7" r:id="rId1"/>
    <sheet name="data"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68" i="5" l="1"/>
  <c r="AV68" i="5"/>
  <c r="AP68" i="5"/>
  <c r="AX67" i="5"/>
  <c r="AV67" i="5"/>
  <c r="AP67" i="5"/>
  <c r="AX66" i="5"/>
  <c r="AV66" i="5"/>
  <c r="AP66" i="5"/>
  <c r="AX65" i="5"/>
  <c r="AV65" i="5"/>
  <c r="AP65" i="5"/>
  <c r="AX64" i="5"/>
  <c r="AV64" i="5"/>
  <c r="AP64" i="5"/>
  <c r="AX63" i="5"/>
  <c r="AV63" i="5"/>
  <c r="AP63" i="5"/>
  <c r="AX62" i="5"/>
  <c r="AV62" i="5"/>
  <c r="AP62" i="5"/>
  <c r="AX61" i="5"/>
  <c r="AV61" i="5"/>
  <c r="AP61" i="5"/>
  <c r="AX60" i="5"/>
  <c r="AV60" i="5"/>
  <c r="AP60" i="5"/>
  <c r="AX59" i="5"/>
  <c r="AV59" i="5"/>
  <c r="AP59" i="5"/>
  <c r="AX58" i="5"/>
  <c r="AV58" i="5"/>
  <c r="AP58" i="5"/>
  <c r="AX57" i="5"/>
  <c r="AV57" i="5"/>
  <c r="AP57" i="5"/>
  <c r="AX56" i="5"/>
  <c r="AV56" i="5"/>
  <c r="AP56" i="5"/>
  <c r="AX55" i="5"/>
  <c r="AV55" i="5"/>
  <c r="AP55" i="5"/>
  <c r="AX54" i="5"/>
  <c r="AV54" i="5"/>
  <c r="AP54" i="5"/>
  <c r="AX53" i="5"/>
  <c r="AV53" i="5"/>
  <c r="AP53" i="5"/>
  <c r="AX52" i="5"/>
  <c r="AV52" i="5"/>
  <c r="AP52" i="5"/>
  <c r="AX51" i="5"/>
  <c r="AV51" i="5"/>
  <c r="AP51" i="5"/>
  <c r="AX50" i="5"/>
  <c r="AV50" i="5"/>
  <c r="AP50" i="5"/>
  <c r="AX49" i="5"/>
  <c r="AV49" i="5"/>
  <c r="AP49" i="5"/>
  <c r="AX48" i="5"/>
  <c r="AV48" i="5"/>
  <c r="AP48" i="5"/>
  <c r="AX47" i="5"/>
  <c r="AV47" i="5"/>
  <c r="AP47" i="5"/>
  <c r="AX46" i="5"/>
  <c r="AV46" i="5"/>
  <c r="AP46" i="5"/>
  <c r="AX45" i="5"/>
  <c r="AV45" i="5"/>
  <c r="AP45" i="5"/>
  <c r="AX44" i="5"/>
  <c r="AV44" i="5"/>
  <c r="AP44" i="5"/>
  <c r="AX43" i="5"/>
  <c r="AV43" i="5"/>
  <c r="AP43" i="5"/>
  <c r="AX42" i="5"/>
  <c r="AV42" i="5"/>
  <c r="AP42" i="5"/>
  <c r="AX41" i="5"/>
  <c r="AV41" i="5"/>
  <c r="AP41" i="5"/>
  <c r="AX40" i="5"/>
  <c r="AV40" i="5"/>
  <c r="AP40" i="5"/>
  <c r="AX39" i="5"/>
  <c r="AV39" i="5"/>
  <c r="AP39" i="5"/>
  <c r="AX38" i="5"/>
  <c r="AV38" i="5"/>
  <c r="AP38" i="5"/>
  <c r="AX37" i="5"/>
  <c r="AV37" i="5"/>
  <c r="AP37" i="5"/>
  <c r="AX36" i="5"/>
  <c r="AV36" i="5"/>
  <c r="AP36" i="5"/>
  <c r="AX35" i="5"/>
  <c r="AV35" i="5"/>
  <c r="AP35" i="5"/>
  <c r="AX34" i="5"/>
  <c r="AV34" i="5"/>
  <c r="AP34" i="5"/>
  <c r="AX33" i="5"/>
  <c r="AV33" i="5"/>
  <c r="AP33" i="5"/>
  <c r="AX32" i="5"/>
  <c r="AV32" i="5"/>
  <c r="AP32" i="5"/>
  <c r="AX31" i="5"/>
  <c r="AV31" i="5"/>
  <c r="AP31" i="5"/>
  <c r="AX30" i="5"/>
  <c r="AV30" i="5"/>
  <c r="AP30" i="5"/>
  <c r="AX29" i="5"/>
  <c r="AV29" i="5"/>
  <c r="AP29" i="5"/>
  <c r="AX28" i="5"/>
  <c r="AV28" i="5"/>
  <c r="AP28" i="5"/>
  <c r="AX27" i="5"/>
  <c r="AV27" i="5"/>
  <c r="AP27" i="5"/>
  <c r="AX26" i="5"/>
  <c r="AV26" i="5"/>
  <c r="AP26" i="5"/>
  <c r="AX25" i="5"/>
  <c r="AV25" i="5"/>
  <c r="AP25" i="5"/>
  <c r="AX24" i="5"/>
  <c r="AV24" i="5"/>
  <c r="AP24" i="5"/>
  <c r="AX23" i="5"/>
  <c r="AV23" i="5"/>
  <c r="AP23" i="5"/>
  <c r="AX22" i="5"/>
  <c r="AV22" i="5"/>
  <c r="AP22" i="5"/>
  <c r="AX21" i="5"/>
  <c r="AV21" i="5"/>
  <c r="AP21" i="5"/>
  <c r="AX20" i="5"/>
  <c r="AV20" i="5"/>
  <c r="AP20" i="5"/>
  <c r="AX19" i="5"/>
  <c r="AV19" i="5"/>
  <c r="AP19" i="5"/>
  <c r="AX18" i="5"/>
  <c r="AV18" i="5"/>
  <c r="AP18" i="5"/>
  <c r="AX17" i="5"/>
  <c r="AV17" i="5"/>
  <c r="AP17" i="5"/>
  <c r="AX16" i="5"/>
  <c r="AV16" i="5"/>
  <c r="AP16" i="5"/>
  <c r="AX15" i="5"/>
  <c r="AV15" i="5"/>
  <c r="AP15" i="5"/>
  <c r="AX14" i="5"/>
  <c r="AV14" i="5"/>
  <c r="AP14" i="5"/>
  <c r="AX13" i="5"/>
  <c r="AV13" i="5"/>
  <c r="AP13" i="5"/>
  <c r="AX12" i="5"/>
  <c r="AV12" i="5"/>
  <c r="AP12" i="5"/>
  <c r="AX11" i="5"/>
  <c r="AV11" i="5"/>
  <c r="AP11" i="5"/>
  <c r="AX10" i="5"/>
  <c r="AV10" i="5"/>
  <c r="AP10" i="5"/>
  <c r="AX9" i="5"/>
  <c r="AV9" i="5"/>
  <c r="AP9" i="5"/>
  <c r="AX8" i="5"/>
  <c r="AV8" i="5"/>
  <c r="AP8" i="5"/>
  <c r="AX7" i="5"/>
  <c r="AV7" i="5"/>
  <c r="AP7" i="5"/>
  <c r="AX6" i="5"/>
  <c r="AV6" i="5"/>
  <c r="AP6" i="5"/>
  <c r="AX5" i="5"/>
  <c r="AV5" i="5"/>
  <c r="AP5" i="5"/>
  <c r="AX4" i="5"/>
  <c r="AV4" i="5"/>
  <c r="AP4" i="5"/>
  <c r="AX3" i="5"/>
  <c r="AV3" i="5"/>
  <c r="AP3" i="5"/>
  <c r="AX2" i="5"/>
  <c r="AV2" i="5"/>
  <c r="AP2" i="5"/>
</calcChain>
</file>

<file path=xl/sharedStrings.xml><?xml version="1.0" encoding="utf-8"?>
<sst xmlns="http://schemas.openxmlformats.org/spreadsheetml/2006/main" count="662" uniqueCount="367">
  <si>
    <t>Calc UUID</t>
  </si>
  <si>
    <t>Virtual Memory Usage (GiB)</t>
  </si>
  <si>
    <t>RSS Memory Usage (GiB)</t>
  </si>
  <si>
    <t>Min DMRG Energy</t>
  </si>
  <si>
    <t>DMRG Energy at Max Bond Dimension</t>
  </si>
  <si>
    <t>CPU Time at Max Bond Dimension (hr)</t>
  </si>
  <si>
    <t>RSS Memory Usage (GiB) Extrapolated</t>
  </si>
  <si>
    <t>CPU Time at Max Bond Dimension (hr) Extrapolated</t>
  </si>
  <si>
    <t>Wall Time at Max Bond Dimension (hr) Extrapolated</t>
  </si>
  <si>
    <t>RSS Memory Usage (GiB) Chem Accuracy</t>
  </si>
  <si>
    <t>RSS Memory Usage (GiB) Extrapolated Lower Bound</t>
  </si>
  <si>
    <t>RSS Memory Usage (GiB) Extrapolated Upper Bound</t>
  </si>
  <si>
    <t>CPU Time at Max Bond Dimension (hr) Extrapolated Lower Bound</t>
  </si>
  <si>
    <t>CPU Time at Max Bond Dimension (hr) Extrapolated Upper Bound</t>
  </si>
  <si>
    <t>Wall Time at Max Bond Dimension (hr) Extrapolated Lower Bound</t>
  </si>
  <si>
    <t>Wall Time at Max Bond Dimension (hr) Extrapolated Upper Bound</t>
  </si>
  <si>
    <t>RSS Memory Usage (GiB) Chem Accuracy Lower Bound</t>
  </si>
  <si>
    <t>RSS Memory Usage (GiB) Chem Accuracy Extrapolated Upper Bound</t>
  </si>
  <si>
    <t>fcidump.9_mo_n2-_noncan_0.2_new</t>
  </si>
  <si>
    <t>mo_n2</t>
  </si>
  <si>
    <t>mo_n2-</t>
  </si>
  <si>
    <t>54e97bd0-e822-41cc-9c8f-d166194df2b5</t>
  </si>
  <si>
    <t>fcidump.10_fecp2+_s0.5_noncan_0.2_new</t>
  </si>
  <si>
    <t>fecp2+_s0.5</t>
  </si>
  <si>
    <t>d635b5d0-8c42-43e3-91ae-3944f502a24a</t>
  </si>
  <si>
    <t>fcidump.11_fecp2_s0_noncan_0.2_new</t>
  </si>
  <si>
    <t>fecp2_s0</t>
  </si>
  <si>
    <t>24b2ff04-062c-4d4f-a0be-42603c786da7</t>
  </si>
  <si>
    <t>ccbd808b-78b4-4792-9d1b-86a462cda47f</t>
  </si>
  <si>
    <t>fcidump.12_mo_n2_noncan_0.2_new</t>
  </si>
  <si>
    <t>0fbb2511-ad12-46b3-a565-a56169f0f645</t>
  </si>
  <si>
    <t>fcidump.16_ts_1over4a_noncan_0.2_new</t>
  </si>
  <si>
    <t>mo_n2_pincer</t>
  </si>
  <si>
    <t>ts_1over4a</t>
  </si>
  <si>
    <t>aa41ab08-5b43-4932-b779-576d3b30e7d5</t>
  </si>
  <si>
    <t>d0a4f650-df50-4f8f-996e-22d8132d5385</t>
  </si>
  <si>
    <t>fcidump.18_I_noncan_0.2_new</t>
  </si>
  <si>
    <t>I</t>
  </si>
  <si>
    <t>a3b46400-de68-4ca9-b4f1-c36de160595d</t>
  </si>
  <si>
    <t>628734d7-fa0d-42f0-a44d-0cf57de43ef8</t>
  </si>
  <si>
    <t>fcidump.20_rc_noncan_0.2_new</t>
  </si>
  <si>
    <t>rc</t>
  </si>
  <si>
    <t>f52d6a66-854c-492d-aa3f-6e61a6544321</t>
  </si>
  <si>
    <t>fcidump.21_rc_noncan_0.2_new</t>
  </si>
  <si>
    <t>63e1643e-80b9-49ad-8f09-157fd7b8ab9f</t>
  </si>
  <si>
    <t>fcidump.22_pc-_noncan_0.2_new</t>
  </si>
  <si>
    <t>pc-</t>
  </si>
  <si>
    <t>31af5376-4089-4b06-91c3-7b7628241ac7</t>
  </si>
  <si>
    <t>205815fb-a181-4ff6-9ca6-c548d25101a3</t>
  </si>
  <si>
    <t>fcidump.23_pc-_noncan_0.2_new</t>
  </si>
  <si>
    <t>07ba16f9-bea3-4d6d-bb59-cd3a23be0fa0</t>
  </si>
  <si>
    <t>67f57ccb-f27d-4144-bf67-9e1a70da0f18</t>
  </si>
  <si>
    <t>fcidump.24_ts_1over2_noncan_0.2_new</t>
  </si>
  <si>
    <t>ts_1over2</t>
  </si>
  <si>
    <t>7849acf8-d4cd-43b3-b3c4-b3e207ebc69c</t>
  </si>
  <si>
    <t>fcidump.25_ts_1over2_noncan_0.2_new</t>
  </si>
  <si>
    <t>75c6a42d-661d-441b-860a-8b007586b5f3</t>
  </si>
  <si>
    <t>fcidump.26_pc_noncan_0.2_new</t>
  </si>
  <si>
    <t>pc</t>
  </si>
  <si>
    <t>2ca99288-f518-42a5-810e-997fd66de092</t>
  </si>
  <si>
    <t>fcidump.27_pc_noncan_0.2_new</t>
  </si>
  <si>
    <t>0c156b7f-f585-4434-8940-200451492e3e</t>
  </si>
  <si>
    <t>fcidump.28_2_noncan_0.2_new</t>
  </si>
  <si>
    <t>684f03ca-be28-43ea-918a-7c73cf26d565</t>
  </si>
  <si>
    <t>fcidump.29_2_noncan_0.2_new</t>
  </si>
  <si>
    <t>989e25bb-9396-4a51-a43f-8b9184b253da</t>
  </si>
  <si>
    <t>fcidump.30_4a_noncan_0.2_new</t>
  </si>
  <si>
    <t>4a</t>
  </si>
  <si>
    <t>a3faa98b-4b4c-4685-a2c9-0d8b7c73fa7a</t>
  </si>
  <si>
    <t>fcidump.31_4a_noncan_0.2_new</t>
  </si>
  <si>
    <t>be1cf726-90ca-4e92-b552-1a1660d9c784</t>
  </si>
  <si>
    <t>fcidump.13_1_lut_ts_noncan_0.2_new</t>
  </si>
  <si>
    <t>mo2_n2</t>
  </si>
  <si>
    <t>1_lut_ts</t>
  </si>
  <si>
    <t>a2591f3c-0662-486e-a815-a59e077aadd2</t>
  </si>
  <si>
    <t>463dc51e-22db-485e-9300-75ef4ea258a1</t>
  </si>
  <si>
    <t>fcidump.14_1_lut_prod_noncan_0.2_new</t>
  </si>
  <si>
    <t>1_lut_prod</t>
  </si>
  <si>
    <t>935d1733-8526-419e-a17a-a10210a368de</t>
  </si>
  <si>
    <t>e12b67e0-0820-4d1c-a537-ccee60307f64</t>
  </si>
  <si>
    <t>fcidump.15_1_lut_react_noncan_0.2_new</t>
  </si>
  <si>
    <t>1_lut_react</t>
  </si>
  <si>
    <t>c9a4fb07-4a9b-4880-8367-49946c7433ca</t>
  </si>
  <si>
    <t>9b0abad4-9b29-4dd0-93b2-2a712e9a7abd</t>
  </si>
  <si>
    <t>fcidump.17_ts_1over4a_noncan_0.2_new</t>
  </si>
  <si>
    <t>8c52422b-88b4-4120-839f-0ad4d53aa840</t>
  </si>
  <si>
    <t>4d499562-8447-4c9f-951d-0b4b77f8a64c_900_ge</t>
  </si>
  <si>
    <t>fcidump.19_I_noncan_0.2_new</t>
  </si>
  <si>
    <t>83c149e4-d01c-4699-a4c2-f8c557d5007e</t>
  </si>
  <si>
    <t>776f7932-7fce-448d-8fa2-46afc9a7d1a1_smallest_energy</t>
  </si>
  <si>
    <t>fcidump.50_6acme_0.2_old.79e71b3e-6364-4972-b4b3-07841fa8ba97</t>
  </si>
  <si>
    <t>fe_red</t>
  </si>
  <si>
    <t>6acme</t>
  </si>
  <si>
    <t>96b693e1-15d1-4540-b79a-6f1878517ec7</t>
  </si>
  <si>
    <t>fcidump.51_6acme_0.2_old.e8f72c80-2fde-4bdc-ac1e-07220942f1c2</t>
  </si>
  <si>
    <t>8bf8dc58-83a5-4562-8617-bfd4af9be79c</t>
  </si>
  <si>
    <t>fcidump.53_ts56_0.2_old.379a0693-4ac3-4ff0-be33-7be3f6cad84f</t>
  </si>
  <si>
    <t>ts56</t>
  </si>
  <si>
    <t>f4d3d5c0-3568-415a-b0b8-87367b1ad290</t>
  </si>
  <si>
    <t>fcidump.56_5_0.2_old.e6671ea9-f0cf-413c-97cb-c8ab6eda9d5e</t>
  </si>
  <si>
    <t>c3776fab-41b5-4f93-a540-5a34ed27b655</t>
  </si>
  <si>
    <t>fcidump.38_1_ts_noncan_0.2_new.46967cfc-d867-40e8-bef0-9655c46cef29</t>
  </si>
  <si>
    <t>blue_dimer</t>
  </si>
  <si>
    <t>1_ts</t>
  </si>
  <si>
    <t>466245ef-7efa-480e-9724-1dcb4534b820</t>
  </si>
  <si>
    <t>fcidump.39_1_ts_noncan_0.2_new.85d9d818-501e-4a0e-8fd8-c216ab5e3cb5</t>
  </si>
  <si>
    <t>4ded7042-dd68-4fa9-8e23-56d839c26910</t>
  </si>
  <si>
    <t>fcidump.42_1_star_noncan_0.2_new.a722dd32-93c7-4fbd-9cf5-f1bf44b2cdae</t>
  </si>
  <si>
    <t>1_star</t>
  </si>
  <si>
    <t>9ca331da-b0f6-4bc8-8387-3fffc02d9672</t>
  </si>
  <si>
    <t>fcidump.43_1_star_noncan_0.2_new.d9707874-28d5-48b6-824e-a2e6c8753437</t>
  </si>
  <si>
    <t>881d2a46-e6b4-4fd5-bce4-b539222bf7ee</t>
  </si>
  <si>
    <t>fcidump.46_2_noncan_0.2_new.6bf3207c-664b-4ed3-8e74-82b42e277234</t>
  </si>
  <si>
    <t>27360f9a-f72a-49d7-88d4-61bd89d6864b</t>
  </si>
  <si>
    <t>fcidump.47_2_noncan_0.2_new.fb3ecfad-6450-423e-aa58-d5cddab6f0f6</t>
  </si>
  <si>
    <t>dcd290d7-2b84-4dc1-8495-9ce93fd18d28</t>
  </si>
  <si>
    <t>fcidump.48_2_noncan_0.2_new.dc406285-bac1-4b99-afbf-06728b7d699b</t>
  </si>
  <si>
    <t>6b92aee0-7d64-45ce-be69-304e9af553cf</t>
  </si>
  <si>
    <t>fcidump.34_3ruo_IV_2pl_noncan_0.2_new.30c3e4f9-1b24-4fe5-9cab-ad0b67e0d74b</t>
  </si>
  <si>
    <t>ru_mono</t>
  </si>
  <si>
    <t>3ruo_IV_2pl</t>
  </si>
  <si>
    <t>8285ea97-55b9-41c7-b3dd-60b3eda15367</t>
  </si>
  <si>
    <t>fcidump.35_3ruo_IV_2pl_noncan_0.2_new.a2417602-4e97-4395-b3f0-1e29262c8053</t>
  </si>
  <si>
    <t>945a5ed1-42e5-49fc-8b85-09c2c91175df</t>
  </si>
  <si>
    <t>fcidump.37_1ru_II_2pl_noncan_0.2_new.7be1766a-b3f7-4779-9a69-f4358645831b</t>
  </si>
  <si>
    <t>1ru_II_2pl</t>
  </si>
  <si>
    <t>70a17eb0-ba4e-4ec4-aebd-3d4506d46514</t>
  </si>
  <si>
    <t>fcidump.7_melact_0.2_old.5dbed2ac-f9a4-4afe-9b18-f67378a51fb2</t>
  </si>
  <si>
    <t>ru_macho</t>
  </si>
  <si>
    <t>melact</t>
  </si>
  <si>
    <t>863f19af-d5e4-4438-bc27-d5923faafeb7</t>
  </si>
  <si>
    <t>fcidump.8_melact_0.2_old.587f69a8-4295-4d6d-811e-0eacfbc5f6dd</t>
  </si>
  <si>
    <t>43d2f1ce-bea3-4e55-8360-6fc705864bc5</t>
  </si>
  <si>
    <t>fcidump.1_ru_macho_noncan_0.2_new.496aaf89-2cdf-43cf-8b25-246e915cc8b5</t>
  </si>
  <si>
    <t>f8bc1bee-1ec4-4ddb-98d6-67e92cd6bc8f</t>
  </si>
  <si>
    <t>fcidump.3_ts_ru_macho_co2_noncan_0.2_new.0d7e4a74-fd11-46e3-ba22-044a7ebc54c7</t>
  </si>
  <si>
    <t>ts_ru_macho_co2</t>
  </si>
  <si>
    <t>d63dfeb6-5e42-4ce8-b717-bd40dd380dd4</t>
  </si>
  <si>
    <t>fcidump.4_ts_ru_macho_co2_noncan_0.2_new.e5e63f77-dbaa-431c-a53f-93c0f4c0758d</t>
  </si>
  <si>
    <t>4ab765e9-ec4e-488b-af97-525f78c8e5ca</t>
  </si>
  <si>
    <t>fcidump.5_ts_ru_macho_melact_noncan_0.2_new.d7bea809-6e34-49f8-8daf-8d728dd18268</t>
  </si>
  <si>
    <t>ts_ru_macho_melact</t>
  </si>
  <si>
    <t>46bcecc2-b4a3-4112-95db-2cf1eee4cc03</t>
  </si>
  <si>
    <t>fcidump.6_ts_ru_macho_melact_noncan_0.2_new.73ae455f-a729-4fac-a626-5654b03c1ef5</t>
  </si>
  <si>
    <t>f76a72a4-532e-4e1e-9aa9-2a55caed341d</t>
  </si>
  <si>
    <t>fcidump.59_5_16_noncan_0.2_new</t>
  </si>
  <si>
    <t>mn_mono</t>
  </si>
  <si>
    <t>5_16</t>
  </si>
  <si>
    <t>079889f3-1444-4015-9ab9-deb0a3384ba1</t>
  </si>
  <si>
    <t>fcidump.60_5_16_noncan_0.2_new</t>
  </si>
  <si>
    <t>1c5fb01c-b4a9-424d-a939-4408c96f63fe</t>
  </si>
  <si>
    <t>fcidump.61_3_15_af_noncan_0.2_new</t>
  </si>
  <si>
    <t>3_15_af</t>
  </si>
  <si>
    <t>f0ce715c-0413-4cc4-b944-8e53d3b8a61b</t>
  </si>
  <si>
    <t>fcidump.62_3_15_af_noncan_0.2_new</t>
  </si>
  <si>
    <t>7468274e-1270-4c7d-b92b-9898b33603a4</t>
  </si>
  <si>
    <t>fcidump.63_5_15_af_ts_noncan_0.2_new</t>
  </si>
  <si>
    <t>5_15_af_ts</t>
  </si>
  <si>
    <t>a5089352-7a01-43f5-9640-cc4d173ab7e5</t>
  </si>
  <si>
    <t>fcidump.64_5_15_af_ts_noncan_0.2_new</t>
  </si>
  <si>
    <t>07f969b9-648f-4e38-bc74-7436a2b1ebae</t>
  </si>
  <si>
    <t>fcidump.65_5_15_af_noncan_0.2_new</t>
  </si>
  <si>
    <t>5_15_af</t>
  </si>
  <si>
    <t>32fedc5d-c0e8-4346-8031-a0b7929800f8</t>
  </si>
  <si>
    <t>fcidump.66_5_15_af_noncan_0.2_new</t>
  </si>
  <si>
    <t>0f454426-efd4-4fb5-be89-fb36b2ab7391</t>
  </si>
  <si>
    <t>fcidump.57_5_0.2_old.eb34bf5e-ecd6-4c2a-9eb6-d9bcb507e047</t>
  </si>
  <si>
    <t>57cb548d-a577-4d18-b1af-70df2d5c8366</t>
  </si>
  <si>
    <t>9bf05d47-3baf-44e3-a98b-fde4a1f03b2a</t>
  </si>
  <si>
    <t>fcidump.32_2ru_III_3pl_noncan_0.2_new.cb60079d-5a30-4e3a-89d5-dbe95822df5e</t>
  </si>
  <si>
    <t>2ru_III_3pl</t>
  </si>
  <si>
    <t>7876797c-3793-47e9-8f18-99d9a5af532b</t>
  </si>
  <si>
    <t>da5e1f39-9b13-490c-b881-434b483148e0</t>
  </si>
  <si>
    <t>fcidump.33_2ru_III_3pl_noncan_0.2_new.4811297e-a8df-4150-9d4d-376fd0c6e9cd</t>
  </si>
  <si>
    <t>371af149-e89d-487e-9903-e235e6d11af4</t>
  </si>
  <si>
    <t>af6ebd07-b68a-4612-a8d4-d738c10616c5</t>
  </si>
  <si>
    <t>fcidump.36_1ru_II_2pl_noncan_0.2_new.51f7d629-9a0e-4688-8562-59a5f0c0a404</t>
  </si>
  <si>
    <t>8fbc333c-1de7-47ac-bd7e-e7de1ddc4716</t>
  </si>
  <si>
    <t>24a660a8-4a13-4dfe-90d1-52100f3582ce</t>
  </si>
  <si>
    <t>fcidump.2_co2_0.2_old.1dc29784-ab7f-45a1-9821-31fea4363d74</t>
  </si>
  <si>
    <t>co2</t>
  </si>
  <si>
    <t>c4c348aa-0911-4c04-af8c-ea2d50bea1aa</t>
  </si>
  <si>
    <t>8050ec10-a693-49c7-860c-8ba43697e7c3</t>
  </si>
  <si>
    <t>fcidump.0_ru_macho_noncan_0.2_new.46aea10c-d57f-4133-9837-3c57d474d9a2</t>
  </si>
  <si>
    <t>dc2860e1-5500-48b0-b2f3-92d12dd58eb4</t>
  </si>
  <si>
    <t>0046a6aa-0412-40e1-afa8-4eb407ca8fab</t>
  </si>
  <si>
    <t>fcidump.52_6acme_0.2_old.4854c3ff-b3ce-462b-ab8e-0b132cd880d0</t>
  </si>
  <si>
    <t>7f152671-a086-4faa-8c28-3f0aebcf9eca</t>
  </si>
  <si>
    <t>7de92e79-6638-4ee7-99e1-d91bf8fcb725</t>
  </si>
  <si>
    <t>fcidump.54_ts56_0.2_old.22ab7092-61bb-401f-ac43-912ec10ea48b</t>
  </si>
  <si>
    <t>230b1216-4020-41b8-8f38-cb6b3dcf0b72</t>
  </si>
  <si>
    <t>859e11b9-5044-425e-ae91-c83131dc99e7</t>
  </si>
  <si>
    <t>fcidump.55_ts56_0.2_old.8a8780b0-a0ba-4b7e-9847-589302123e86</t>
  </si>
  <si>
    <t>4d052c14-9312-49be-b6a3-fa7fc9b8ddde</t>
  </si>
  <si>
    <t>fcidump.58_5_0.2_old.5f3178b5-0ad3-469a-ae08-e9ecdc637ed3</t>
  </si>
  <si>
    <t>4fa5562c-efca-487e-b403-d43e5892fdc7</t>
  </si>
  <si>
    <t>518f646e-3bba-4c83-a087-3c294d93a490</t>
  </si>
  <si>
    <t>fcidump.40_1_ts_noncan_0.2_new.7db0f859-073f-46af-9325-016a67229a4b</t>
  </si>
  <si>
    <t>05efedcd-ca71-4522-a5b9-8ffeb945fb78</t>
  </si>
  <si>
    <t>fc7f0835-f1d5-4140-b2cf-e7e6a48c021f</t>
  </si>
  <si>
    <t>fcidump.41_1_ts_noncan_0.2_new.2f0b6ced-7831-4fe0-b95e-ce4d456c9c6b</t>
  </si>
  <si>
    <t>b1147cc6-f8d8-4fb3-a037-d6ed92203ccc</t>
  </si>
  <si>
    <t>56916993-bbf3-4cce-91ab-97c1cd024d74</t>
  </si>
  <si>
    <t>fcidump.44_1_star_noncan_0.2_new.727ab190-e399-4bb6-a9b3-20ae57789bac</t>
  </si>
  <si>
    <t>a847b2fc-f824-4b5c-9bd2-44e1756f94ca</t>
  </si>
  <si>
    <t>8f28062a-5223-487a-825a-a57927fd84b0</t>
  </si>
  <si>
    <t>fcidump.45_1_star_noncan_0.2_new.e986eb83-6b9d-439e-85ca-a9b931eef4a2</t>
  </si>
  <si>
    <t>a66393b9-d8a6-4e8d-80c2-2563c8dc386d</t>
  </si>
  <si>
    <t>9b5ebb3d-535c-45bb-8c5b-63644257c232</t>
  </si>
  <si>
    <t>fcidump.49_2_noncan_0.2_new.af9d6a83-7898-4c13-80eb-a83a533ebf2d</t>
  </si>
  <si>
    <t>79074323-0867-487d-b3a5-ed33d086465d</t>
  </si>
  <si>
    <t>ad17725d-1ece-4b5d-b3ad-9772364523b9</t>
  </si>
  <si>
    <t>LOG(CPU time extrapolated lower)</t>
  </si>
  <si>
    <t>LOG(CPU time extrapolated upper)</t>
  </si>
  <si>
    <t>743237bd-0e9a-48cb-957b-966b3f19766f</t>
  </si>
  <si>
    <t>9da97ef6-4bad-4c82-8576-9b8e539a7ba8</t>
  </si>
  <si>
    <t>f20db1b1-86e3-4ddf-96ff-a6d37f331935</t>
  </si>
  <si>
    <t>950da653-13ce-4cd7-95d8-5045ab03d4bc</t>
  </si>
  <si>
    <t>13821f5c-78a6-485c-9006-a17a234cde9f</t>
  </si>
  <si>
    <t>1a013e9f-7eab-4a1b-b486-1d9e2d99e754</t>
  </si>
  <si>
    <t>001a0d11-165a-49c5-a334-643023029f40</t>
  </si>
  <si>
    <t>1c9508e3-b9fe-44f1-ae58-c6339ef43f47</t>
  </si>
  <si>
    <t>742be33c-0982-4b06-b324-1d86242e28d9</t>
  </si>
  <si>
    <t>3b49563d-948a-4ecb-84a0-d3c0c2c0d217</t>
  </si>
  <si>
    <t>765594e5-44ac-41a2-89a7-f2ac03536379</t>
  </si>
  <si>
    <t>858b9683-fc6c-4ebe-8c33-27f0d848f24f</t>
  </si>
  <si>
    <t>6713517a-ab65-4381-aae1-0839dcd6c1a0</t>
  </si>
  <si>
    <t>4970c526-817f-4c04-8d7e-797526d5948d</t>
  </si>
  <si>
    <t>d27fb590-4e90-4d5a-bdb8-37fbf22f528b</t>
  </si>
  <si>
    <t>d3bcc63c-57ad-4346-8290-e36447186440</t>
  </si>
  <si>
    <t>adecdd92-73c7-416d-90da-b7a3da7ed50b</t>
  </si>
  <si>
    <t>03c70feb-49b8-4113-831a-05e3ae55c66b</t>
  </si>
  <si>
    <t>a7cd2501-2f67-4fcd-b428-f6620f3596fe</t>
  </si>
  <si>
    <t>41907f9f-923d-49e3-80a9-519962110ae7</t>
  </si>
  <si>
    <t>ad9ceeaf-d7be-46b7-95a9-15bfd33f5022</t>
  </si>
  <si>
    <t>0e936335-6370-4587-92f0-02eafaf650ed</t>
  </si>
  <si>
    <t>de3ea361-c2d3-4ab6-add4-ccd43cea6aa8</t>
  </si>
  <si>
    <t>6c39d3a7-c71a-4049-a8c7-3a3a4b61d8da</t>
  </si>
  <si>
    <t>1ade03f3-06b1-4e95-b271-fea5a6343829</t>
  </si>
  <si>
    <t>ff0da1e2-2c76-4589-aefa-c13bb1a1ef8f</t>
  </si>
  <si>
    <t>a9c90f98-6557-44d2-9ca0-0c9122f4080c</t>
  </si>
  <si>
    <t>a16168e2-98cd-430d-a180-84f64b4d5e75</t>
  </si>
  <si>
    <t>590c2f0b-964b-4d09-96ad-101a9be59cab</t>
  </si>
  <si>
    <t>6e617348-d0b3-4b6d-9923-ea54ba5cf751</t>
  </si>
  <si>
    <t>00ba4917-d66a-4335-819f-43390dfc9929</t>
  </si>
  <si>
    <t>b9cc699a-80f8-4280-9731-23dee4d5a6a5</t>
  </si>
  <si>
    <t>dfd78a05-437d-4667-88d7-7e2a3384b816</t>
  </si>
  <si>
    <t>35c1aee4-4ef3-4e18-bc2a-377cf45e8fa1</t>
  </si>
  <si>
    <t>aaae8d93-cb88-41ee-8f11-c70cc9b0d7fb</t>
  </si>
  <si>
    <t>db75bf65-181b-40c2-b978-26453437c2b0</t>
  </si>
  <si>
    <t>b628f4be-582f-4f23-96eb-c8b9e0005e4a</t>
  </si>
  <si>
    <t>c436c481-00d1-49ec-8d0e-0a5e83a8df19</t>
  </si>
  <si>
    <t>349e9cbe-d675-411f-b6b8-be846c27902c</t>
  </si>
  <si>
    <t>3eccbccf-e84a-44b9-b775-cef772cd84f0</t>
  </si>
  <si>
    <t>4c240146-6b8b-4fa5-88e4-41cbd39c8ac3</t>
  </si>
  <si>
    <t>c582e543-075c-4fa1-b189-5e7455286d82</t>
  </si>
  <si>
    <t>3fa3940d-8a68-44ae-9223-7346404651e6</t>
  </si>
  <si>
    <t>eadd62e9-ee3d-4193-94de-7735a529edce</t>
  </si>
  <si>
    <t>b900c4a3-fe87-4df7-96b7-2767ccdc1d56</t>
  </si>
  <si>
    <t>7fc4c1d7-3469-40a3-9cd8-4354b6acf01d</t>
  </si>
  <si>
    <t>09b81c3d-aee1-4bc3-98ce-a72da477b108</t>
  </si>
  <si>
    <t>87d59f7c-e397-42dc-aa6e-00200d8697aa</t>
  </si>
  <si>
    <t>5547bb48-fac6-4426-91ad-c4853ce421aa</t>
  </si>
  <si>
    <t>ab482d50-9a85-48d9-aa17-83dcbb38614b</t>
  </si>
  <si>
    <t>e3a07092-d1e5-4867-a4d7-d0258f9df6db</t>
  </si>
  <si>
    <t>138733f0-08f5-4077-b848-813c8ec53c79</t>
  </si>
  <si>
    <t>79b74ad4-afa8-458f-87a3-a5ec339056c6</t>
  </si>
  <si>
    <t>b164af91-a758-445c-8e78-610ffd2ad795</t>
  </si>
  <si>
    <t>28bd4997-c04c-4914-9984-0101713041fe</t>
  </si>
  <si>
    <t>6346b7fe-a4a5-4b10-a79b-706d4339923e</t>
  </si>
  <si>
    <t>68db6781-dd54-43c4-b667-7b754c4d5cdb</t>
  </si>
  <si>
    <t>d3ecd428-ee03-4d8b-aa14-af4d935781ed</t>
  </si>
  <si>
    <t>89253c8f-0f01-4046-a138-1bada22f0a6a</t>
  </si>
  <si>
    <t>842d2152-2f91-4dce-b088-7ed26afb2381</t>
  </si>
  <si>
    <t>4357d5bb-ed2b-466a-947b-e868afb81d3d</t>
  </si>
  <si>
    <t>dcf2b441-b297-4a89-ae18-5778ec2d674d</t>
  </si>
  <si>
    <t>d937e005-3688-4138-9465-426798087395</t>
  </si>
  <si>
    <t>ace55695-1ca9-4153-8fd4-55ed6658cf8c</t>
  </si>
  <si>
    <t>a475af8e-cb0b-4533-906d-a6b8eda313e7</t>
  </si>
  <si>
    <t>5509795a-90ce-45d6-b03d-db956a5da5b2</t>
  </si>
  <si>
    <t>bc3520b5-bf25-4a43-892c-8d7e9a690fe2</t>
  </si>
  <si>
    <t>dab492c3-27fe-4ac3-8c98-de2563caf66c</t>
  </si>
  <si>
    <t>Wall Time at Max Bond Dimension (hours)</t>
  </si>
  <si>
    <t>DMRG UUID</t>
  </si>
  <si>
    <t>LOG(extrapolated CPU time)</t>
  </si>
  <si>
    <t>DMRG Max Bond Dimension</t>
  </si>
  <si>
    <t>Problem Instance Short Name</t>
  </si>
  <si>
    <t>Molecule Name</t>
  </si>
  <si>
    <t>Task UUID</t>
  </si>
  <si>
    <t>FCIDUMP File Name</t>
  </si>
  <si>
    <t>Charge</t>
  </si>
  <si>
    <t>Multiplicity</t>
  </si>
  <si>
    <t>Number of Electrons</t>
  </si>
  <si>
    <t>Log10(hilbert_space_size)</t>
  </si>
  <si>
    <t>DMRG Number of Sweeps at Max Bond Dimension</t>
  </si>
  <si>
    <t>max_vertex_degree</t>
  </si>
  <si>
    <t>min_vertex_degree</t>
  </si>
  <si>
    <t>mean_vertex_degree</t>
  </si>
  <si>
    <t>std_dev_vertex_degree</t>
  </si>
  <si>
    <t>one_norm</t>
  </si>
  <si>
    <t>max_weight</t>
  </si>
  <si>
    <t>min_weight</t>
  </si>
  <si>
    <t>mean_weight</t>
  </si>
  <si>
    <t>std_dev_weight</t>
  </si>
  <si>
    <t>max_edge_order</t>
  </si>
  <si>
    <t>min_edge_order</t>
  </si>
  <si>
    <t>mean_edge_order</t>
  </si>
  <si>
    <t>std_dev_edge_order</t>
  </si>
  <si>
    <t>number_of_terms</t>
  </si>
  <si>
    <t>log_fci_dim</t>
  </si>
  <si>
    <t>df_rank</t>
  </si>
  <si>
    <t>df_gap</t>
  </si>
  <si>
    <t>Number of Orbitals</t>
  </si>
  <si>
    <t>Tracking</t>
  </si>
  <si>
    <t>Hamiltonian Features</t>
  </si>
  <si>
    <t>DMRG performance</t>
  </si>
  <si>
    <t>Category</t>
  </si>
  <si>
    <t>Field Name</t>
  </si>
  <si>
    <t>string, UUID</t>
  </si>
  <si>
    <t>string, not unique</t>
  </si>
  <si>
    <t>string, unique</t>
  </si>
  <si>
    <t>exact name of the FCIDUMP file used</t>
  </si>
  <si>
    <t>Each problem instance may contain multiple Hamiltonians.  The task UUID corresponds to exactly one Hamiltonian.</t>
  </si>
  <si>
    <t>Friendly, human-readable name</t>
  </si>
  <si>
    <t>tracking DMRG extrapolation process</t>
  </si>
  <si>
    <t>tracking DMRG calculation</t>
  </si>
  <si>
    <t>GiB</t>
  </si>
  <si>
    <t>Energy</t>
  </si>
  <si>
    <t>As reported by Compute Canada's system; amount of RAM used.</t>
  </si>
  <si>
    <t>hours</t>
  </si>
  <si>
    <t>integer</t>
  </si>
  <si>
    <t>positive integer</t>
  </si>
  <si>
    <t>Lowest DMRG energy obtained (thus variational)</t>
  </si>
  <si>
    <t>Hartree</t>
  </si>
  <si>
    <t>Multiple sweeps are used at a given bond dimension to improve convergence at that bond dimension.</t>
  </si>
  <si>
    <t>Explanation/comments</t>
  </si>
  <si>
    <t>Bond dimension required for DMRG energy to be within 1 mHa of "energy". This may be less than "Max Bond Dimension" as the calculation could reach 1mHa accuracy before hitting "Max Bond Dimension".  More details in section 3.2.1 of the Homogeneous catalysis paper on arxiv (v1)</t>
  </si>
  <si>
    <t>This is usually the same as "Min DMRG Energy", but sometimes a calculation at a lower bond dimension is converged slightly better.</t>
  </si>
  <si>
    <t>As reported by Compute Canada's system, CPU Time for computation only</t>
  </si>
  <si>
    <t>As reported by Compute Canada's system, wall-clock run time for computation only</t>
  </si>
  <si>
    <t>95% confidence interval on extrapolated energy</t>
  </si>
  <si>
    <t>extrapolated estimate of ground state energy (regressing on truncated weight as bond dimension approaches the maximum)</t>
  </si>
  <si>
    <t>+/- Hartree</t>
  </si>
  <si>
    <t>extrapolating bond dimension to achieve a DMRG energy within 1 mHa of the estimated ground state energy (lower bound based on standard error).  See Section 3 of https://arxiv.org/pdf/2406.06335.</t>
  </si>
  <si>
    <t>extrapolating bond dimension to achieve a DMRG energy within 1 mHa of the estimated ground state energy (upper bound based on standard error).  See Section 3 of https://arxiv.org/pdf/2406.06335.</t>
  </si>
  <si>
    <t>Energy 95% CI</t>
  </si>
  <si>
    <t>Extrapolated Bond Dimension</t>
  </si>
  <si>
    <t>Extrapolated Bond Dimension Lower Bound</t>
  </si>
  <si>
    <t>Extrapolated Bond Dimension Upper Bound</t>
  </si>
  <si>
    <t>Type/Units</t>
  </si>
  <si>
    <t>real number</t>
  </si>
  <si>
    <t>The rank after double-factorizing the Hamiltonian</t>
  </si>
  <si>
    <t>The difference between the largest and second-largest eigenvalues of the double-factorized Hamiltonian</t>
  </si>
  <si>
    <t>net electric charge</t>
  </si>
  <si>
    <t>spin multiplicity</t>
  </si>
  <si>
    <t>See https://arxiv.org/abs/2508.10873 for detailed explanation of calculated Hamiltonian Features</t>
  </si>
  <si>
    <t>The maximum absolute value of the coefficients of the Pauli string representation of the Hamiltonian (after JW transformation).  See https://arxiv.org/abs/2508.10873 for detailed explanation of calculated Hamiltonian Features</t>
  </si>
  <si>
    <t>In the qubit Pauli string representation, after JW transformation, the coefficient of the Pauli strings.  See https://arxiv.org/abs/2508.10873 for detailed explanation of calculated Hamiltonian Features</t>
  </si>
  <si>
    <t>In the qubit Pauli string representation, after JW transformation, the number of qubits that are connected by a Pauli string term (i.e., edge in the hypergraph). See https://arxiv.org/abs/2508.10873 for detailed explanation of calculated Hamiltonian Features</t>
  </si>
  <si>
    <t>In the qubit Pauli string representation, after JW transformation, the number of Pauli strings.  See https://arxiv.org/abs/2508.10873 for detailed explanation of calculated Hamiltonian Features</t>
  </si>
  <si>
    <t>In the qubit Pauli string representation, after JW transformation, the number of Pauli strings a qubit appears in.  See https://arxiv.org/abs/2508.10873 for detailed explanation of calculated Hamiltonian Features</t>
  </si>
  <si>
    <t>positive real number</t>
  </si>
  <si>
    <t>Memory usage extrapolated using quadratic scaling with respect to bond dimension</t>
  </si>
  <si>
    <t>CPU time extrapolated using cubic scaling with respect to bond dimension</t>
  </si>
  <si>
    <t>Wall time extrapolated using cubic scaling with respect to bond dimension</t>
  </si>
  <si>
    <t>The greater of "RSS Memory Usage (GiB) Extrapolated" or "RSS Memory Usage (GiB)".  For small system, typically "RSS Memory Usage"</t>
  </si>
  <si>
    <t>As reported by Compute Canada's system; actual amount of RAM used at maximum bond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</si>
</sst>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 #,##0.00_)\ &quot;$&quot;_ ;_ * \(#,##0.00\)\ &quot;$&quot;_ ;_ * &quot;-&quot;??_)\ &quot;$&quot;_ ;_ @_ "/>
  </numFmts>
  <fonts count="22" x14ac:knownFonts="1">
    <font>
      <sz val="12"/>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name val="Aptos Narrow"/>
      <family val="2"/>
      <scheme val="minor"/>
    </font>
    <font>
      <b/>
      <sz val="11"/>
      <name val="Aptos Narrow"/>
      <family val="2"/>
      <scheme val="minor"/>
    </font>
    <font>
      <sz val="12"/>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5">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164" fontId="2" fillId="0" borderId="0" applyFont="0" applyFill="0" applyBorder="0" applyAlignment="0" applyProtection="0"/>
    <xf numFmtId="0" fontId="1" fillId="0" borderId="0"/>
  </cellStyleXfs>
  <cellXfs count="29">
    <xf numFmtId="0" fontId="0" fillId="0" borderId="0" xfId="0"/>
    <xf numFmtId="0" fontId="19" fillId="33" borderId="10" xfId="0" applyFont="1" applyFill="1" applyBorder="1" applyAlignment="1">
      <alignment wrapText="1"/>
    </xf>
    <xf numFmtId="0" fontId="20" fillId="36" borderId="10" xfId="44" applyFont="1" applyFill="1" applyBorder="1"/>
    <xf numFmtId="0" fontId="19" fillId="35" borderId="10" xfId="0" applyFont="1" applyFill="1" applyBorder="1" applyAlignment="1">
      <alignment wrapText="1"/>
    </xf>
    <xf numFmtId="44" fontId="19" fillId="35" borderId="10" xfId="1" applyFont="1" applyFill="1" applyBorder="1" applyAlignment="1">
      <alignment wrapText="1"/>
    </xf>
    <xf numFmtId="0" fontId="19" fillId="35" borderId="10" xfId="0" applyFont="1" applyFill="1" applyBorder="1"/>
    <xf numFmtId="0" fontId="19" fillId="34" borderId="10" xfId="0" applyFont="1" applyFill="1" applyBorder="1" applyAlignment="1">
      <alignment wrapText="1"/>
    </xf>
    <xf numFmtId="0" fontId="21" fillId="34" borderId="10" xfId="0" applyFont="1" applyFill="1" applyBorder="1"/>
    <xf numFmtId="0" fontId="21" fillId="34" borderId="10" xfId="0" applyFont="1" applyFill="1" applyBorder="1" applyAlignment="1">
      <alignment wrapText="1"/>
    </xf>
    <xf numFmtId="0" fontId="21" fillId="0" borderId="10" xfId="0" applyFont="1" applyFill="1" applyBorder="1" applyAlignment="1">
      <alignment wrapText="1"/>
    </xf>
    <xf numFmtId="11" fontId="21" fillId="0" borderId="10" xfId="0" applyNumberFormat="1" applyFont="1" applyFill="1" applyBorder="1" applyAlignment="1">
      <alignment wrapText="1"/>
    </xf>
    <xf numFmtId="0" fontId="19" fillId="0" borderId="0" xfId="0" applyFont="1" applyFill="1" applyAlignment="1">
      <alignment wrapText="1"/>
    </xf>
    <xf numFmtId="0" fontId="21" fillId="0" borderId="0" xfId="0" applyFont="1" applyFill="1" applyAlignment="1">
      <alignment wrapText="1"/>
    </xf>
    <xf numFmtId="0" fontId="17" fillId="0" borderId="0" xfId="0" applyFont="1"/>
    <xf numFmtId="0" fontId="19" fillId="37" borderId="10" xfId="0" applyFont="1" applyFill="1" applyBorder="1" applyAlignment="1">
      <alignment wrapText="1"/>
    </xf>
    <xf numFmtId="0" fontId="19" fillId="33" borderId="10" xfId="0" applyNumberFormat="1" applyFont="1" applyFill="1" applyBorder="1" applyAlignment="1">
      <alignment wrapText="1"/>
    </xf>
    <xf numFmtId="0" fontId="19" fillId="35" borderId="10" xfId="0" applyNumberFormat="1" applyFont="1" applyFill="1" applyBorder="1" applyAlignment="1">
      <alignment wrapText="1"/>
    </xf>
    <xf numFmtId="0" fontId="17" fillId="33" borderId="10" xfId="0" applyNumberFormat="1" applyFont="1" applyFill="1" applyBorder="1" applyAlignment="1">
      <alignment wrapText="1"/>
    </xf>
    <xf numFmtId="0" fontId="0" fillId="0" borderId="10" xfId="0" applyNumberFormat="1" applyBorder="1" applyAlignment="1">
      <alignment wrapText="1"/>
    </xf>
    <xf numFmtId="0" fontId="17" fillId="36" borderId="10" xfId="0" applyNumberFormat="1" applyFont="1" applyFill="1" applyBorder="1" applyAlignment="1">
      <alignment wrapText="1"/>
    </xf>
    <xf numFmtId="0" fontId="20" fillId="36" borderId="10" xfId="44" applyNumberFormat="1" applyFont="1" applyFill="1" applyBorder="1" applyAlignment="1">
      <alignment wrapText="1"/>
    </xf>
    <xf numFmtId="0" fontId="0" fillId="0" borderId="10" xfId="0" applyNumberFormat="1" applyFill="1" applyBorder="1" applyAlignment="1">
      <alignment wrapText="1"/>
    </xf>
    <xf numFmtId="0" fontId="0" fillId="0" borderId="10" xfId="0" quotePrefix="1" applyNumberFormat="1" applyBorder="1" applyAlignment="1">
      <alignment wrapText="1"/>
    </xf>
    <xf numFmtId="0" fontId="17" fillId="0" borderId="10" xfId="0" applyNumberFormat="1" applyFont="1" applyBorder="1" applyAlignment="1">
      <alignment wrapText="1"/>
    </xf>
    <xf numFmtId="0" fontId="19" fillId="33" borderId="10" xfId="0" applyFont="1" applyFill="1" applyBorder="1" applyAlignment="1">
      <alignment horizontal="center" wrapText="1"/>
    </xf>
    <xf numFmtId="0" fontId="19" fillId="34" borderId="10" xfId="0" applyFont="1" applyFill="1" applyBorder="1" applyAlignment="1">
      <alignment horizontal="center" wrapText="1"/>
    </xf>
    <xf numFmtId="0" fontId="19" fillId="0" borderId="0" xfId="0" applyFont="1" applyFill="1" applyAlignment="1">
      <alignment horizontal="center" wrapText="1"/>
    </xf>
    <xf numFmtId="0" fontId="19" fillId="37" borderId="10" xfId="0" applyNumberFormat="1" applyFont="1" applyFill="1" applyBorder="1" applyAlignment="1">
      <alignment wrapText="1"/>
    </xf>
    <xf numFmtId="0" fontId="14" fillId="38" borderId="10" xfId="0" applyNumberFormat="1" applyFont="1" applyFill="1" applyBorder="1" applyAlignment="1">
      <alignment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xfId="43" xr:uid="{61183434-42BB-4270-9511-7D4C58617B0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4" xr:uid="{97D89619-DDD1-4604-B68F-D32A66540D66}"/>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CF59-86A7-4412-98F6-DCC5AD6690FF}">
  <sheetPr>
    <tabColor rgb="FFFF0000"/>
  </sheetPr>
  <dimension ref="A1:D57"/>
  <sheetViews>
    <sheetView tabSelected="1" workbookViewId="0"/>
  </sheetViews>
  <sheetFormatPr defaultRowHeight="15.75" x14ac:dyDescent="0.25"/>
  <cols>
    <col min="1" max="1" width="25.375" style="23" customWidth="1"/>
    <col min="2" max="2" width="30.25" style="18" customWidth="1"/>
    <col min="3" max="3" width="23.75" style="18" customWidth="1"/>
    <col min="4" max="4" width="65.625" style="18" customWidth="1"/>
  </cols>
  <sheetData>
    <row r="1" spans="1:4" s="13" customFormat="1" x14ac:dyDescent="0.25">
      <c r="A1" s="28" t="s">
        <v>316</v>
      </c>
      <c r="B1" s="28" t="s">
        <v>317</v>
      </c>
      <c r="C1" s="28" t="s">
        <v>349</v>
      </c>
      <c r="D1" s="28" t="s">
        <v>335</v>
      </c>
    </row>
    <row r="2" spans="1:4" x14ac:dyDescent="0.25">
      <c r="A2" s="17" t="s">
        <v>313</v>
      </c>
      <c r="B2" s="15" t="s">
        <v>286</v>
      </c>
      <c r="C2" s="18" t="s">
        <v>319</v>
      </c>
      <c r="D2" s="18" t="s">
        <v>323</v>
      </c>
    </row>
    <row r="3" spans="1:4" x14ac:dyDescent="0.25">
      <c r="A3" s="17" t="s">
        <v>313</v>
      </c>
      <c r="B3" s="15" t="s">
        <v>287</v>
      </c>
      <c r="C3" s="18" t="s">
        <v>319</v>
      </c>
      <c r="D3" s="18" t="s">
        <v>323</v>
      </c>
    </row>
    <row r="4" spans="1:4" ht="31.5" x14ac:dyDescent="0.25">
      <c r="A4" s="17" t="s">
        <v>313</v>
      </c>
      <c r="B4" s="15" t="s">
        <v>288</v>
      </c>
      <c r="C4" s="18" t="s">
        <v>318</v>
      </c>
      <c r="D4" s="18" t="s">
        <v>322</v>
      </c>
    </row>
    <row r="5" spans="1:4" x14ac:dyDescent="0.25">
      <c r="A5" s="17" t="s">
        <v>313</v>
      </c>
      <c r="B5" s="15" t="s">
        <v>289</v>
      </c>
      <c r="C5" s="18" t="s">
        <v>320</v>
      </c>
      <c r="D5" s="18" t="s">
        <v>321</v>
      </c>
    </row>
    <row r="6" spans="1:4" x14ac:dyDescent="0.25">
      <c r="A6" s="19" t="s">
        <v>314</v>
      </c>
      <c r="B6" s="20" t="s">
        <v>290</v>
      </c>
      <c r="C6" s="18" t="s">
        <v>330</v>
      </c>
      <c r="D6" s="18" t="s">
        <v>353</v>
      </c>
    </row>
    <row r="7" spans="1:4" x14ac:dyDescent="0.25">
      <c r="A7" s="19" t="s">
        <v>314</v>
      </c>
      <c r="B7" s="20" t="s">
        <v>291</v>
      </c>
      <c r="C7" s="18" t="s">
        <v>330</v>
      </c>
      <c r="D7" s="18" t="s">
        <v>354</v>
      </c>
    </row>
    <row r="8" spans="1:4" x14ac:dyDescent="0.25">
      <c r="A8" s="19" t="s">
        <v>314</v>
      </c>
      <c r="B8" s="20" t="s">
        <v>312</v>
      </c>
      <c r="C8" s="18" t="s">
        <v>331</v>
      </c>
    </row>
    <row r="9" spans="1:4" x14ac:dyDescent="0.25">
      <c r="A9" s="19" t="s">
        <v>314</v>
      </c>
      <c r="B9" s="20" t="s">
        <v>292</v>
      </c>
      <c r="C9" s="18" t="s">
        <v>331</v>
      </c>
    </row>
    <row r="10" spans="1:4" x14ac:dyDescent="0.25">
      <c r="A10" s="19" t="s">
        <v>314</v>
      </c>
      <c r="B10" s="20" t="s">
        <v>293</v>
      </c>
      <c r="C10" s="18" t="s">
        <v>350</v>
      </c>
    </row>
    <row r="11" spans="1:4" ht="47.25" x14ac:dyDescent="0.25">
      <c r="A11" s="19" t="s">
        <v>314</v>
      </c>
      <c r="B11" s="20" t="s">
        <v>295</v>
      </c>
      <c r="C11" s="18" t="s">
        <v>331</v>
      </c>
      <c r="D11" s="18" t="s">
        <v>360</v>
      </c>
    </row>
    <row r="12" spans="1:4" ht="47.25" x14ac:dyDescent="0.25">
      <c r="A12" s="19" t="s">
        <v>314</v>
      </c>
      <c r="B12" s="20" t="s">
        <v>296</v>
      </c>
      <c r="C12" s="18" t="s">
        <v>331</v>
      </c>
      <c r="D12" s="18" t="s">
        <v>360</v>
      </c>
    </row>
    <row r="13" spans="1:4" ht="47.25" x14ac:dyDescent="0.25">
      <c r="A13" s="19" t="s">
        <v>314</v>
      </c>
      <c r="B13" s="20" t="s">
        <v>297</v>
      </c>
      <c r="C13" s="18" t="s">
        <v>361</v>
      </c>
      <c r="D13" s="18" t="s">
        <v>360</v>
      </c>
    </row>
    <row r="14" spans="1:4" ht="47.25" x14ac:dyDescent="0.25">
      <c r="A14" s="19" t="s">
        <v>314</v>
      </c>
      <c r="B14" s="20" t="s">
        <v>298</v>
      </c>
      <c r="C14" s="18" t="s">
        <v>361</v>
      </c>
      <c r="D14" s="18" t="s">
        <v>360</v>
      </c>
    </row>
    <row r="15" spans="1:4" ht="63" x14ac:dyDescent="0.25">
      <c r="A15" s="19" t="s">
        <v>314</v>
      </c>
      <c r="B15" s="20" t="s">
        <v>299</v>
      </c>
      <c r="C15" s="18" t="s">
        <v>361</v>
      </c>
      <c r="D15" s="18" t="s">
        <v>356</v>
      </c>
    </row>
    <row r="16" spans="1:4" ht="47.25" x14ac:dyDescent="0.25">
      <c r="A16" s="19" t="s">
        <v>314</v>
      </c>
      <c r="B16" s="20" t="s">
        <v>300</v>
      </c>
      <c r="C16" s="18" t="s">
        <v>361</v>
      </c>
      <c r="D16" s="18" t="s">
        <v>357</v>
      </c>
    </row>
    <row r="17" spans="1:4" ht="47.25" x14ac:dyDescent="0.25">
      <c r="A17" s="19" t="s">
        <v>314</v>
      </c>
      <c r="B17" s="20" t="s">
        <v>301</v>
      </c>
      <c r="C17" s="18" t="s">
        <v>361</v>
      </c>
      <c r="D17" s="18" t="s">
        <v>357</v>
      </c>
    </row>
    <row r="18" spans="1:4" ht="47.25" x14ac:dyDescent="0.25">
      <c r="A18" s="19" t="s">
        <v>314</v>
      </c>
      <c r="B18" s="20" t="s">
        <v>302</v>
      </c>
      <c r="C18" s="18" t="s">
        <v>361</v>
      </c>
      <c r="D18" s="18" t="s">
        <v>357</v>
      </c>
    </row>
    <row r="19" spans="1:4" ht="47.25" x14ac:dyDescent="0.25">
      <c r="A19" s="19" t="s">
        <v>314</v>
      </c>
      <c r="B19" s="20" t="s">
        <v>303</v>
      </c>
      <c r="C19" s="18" t="s">
        <v>361</v>
      </c>
      <c r="D19" s="18" t="s">
        <v>357</v>
      </c>
    </row>
    <row r="20" spans="1:4" ht="63" x14ac:dyDescent="0.25">
      <c r="A20" s="19" t="s">
        <v>314</v>
      </c>
      <c r="B20" s="20" t="s">
        <v>304</v>
      </c>
      <c r="C20" s="18" t="s">
        <v>331</v>
      </c>
      <c r="D20" s="18" t="s">
        <v>358</v>
      </c>
    </row>
    <row r="21" spans="1:4" ht="63" x14ac:dyDescent="0.25">
      <c r="A21" s="19" t="s">
        <v>314</v>
      </c>
      <c r="B21" s="20" t="s">
        <v>305</v>
      </c>
      <c r="C21" s="18" t="s">
        <v>331</v>
      </c>
      <c r="D21" s="18" t="s">
        <v>358</v>
      </c>
    </row>
    <row r="22" spans="1:4" ht="63" x14ac:dyDescent="0.25">
      <c r="A22" s="19" t="s">
        <v>314</v>
      </c>
      <c r="B22" s="20" t="s">
        <v>306</v>
      </c>
      <c r="C22" s="18" t="s">
        <v>361</v>
      </c>
      <c r="D22" s="18" t="s">
        <v>358</v>
      </c>
    </row>
    <row r="23" spans="1:4" ht="63" x14ac:dyDescent="0.25">
      <c r="A23" s="19" t="s">
        <v>314</v>
      </c>
      <c r="B23" s="20" t="s">
        <v>307</v>
      </c>
      <c r="C23" s="18" t="s">
        <v>361</v>
      </c>
      <c r="D23" s="18" t="s">
        <v>358</v>
      </c>
    </row>
    <row r="24" spans="1:4" ht="47.25" x14ac:dyDescent="0.25">
      <c r="A24" s="19" t="s">
        <v>314</v>
      </c>
      <c r="B24" s="20" t="s">
        <v>308</v>
      </c>
      <c r="C24" s="18" t="s">
        <v>331</v>
      </c>
      <c r="D24" s="18" t="s">
        <v>359</v>
      </c>
    </row>
    <row r="25" spans="1:4" ht="31.5" x14ac:dyDescent="0.25">
      <c r="A25" s="19" t="s">
        <v>314</v>
      </c>
      <c r="B25" s="20" t="s">
        <v>309</v>
      </c>
      <c r="C25" s="18" t="s">
        <v>350</v>
      </c>
      <c r="D25" s="18" t="s">
        <v>355</v>
      </c>
    </row>
    <row r="26" spans="1:4" x14ac:dyDescent="0.25">
      <c r="A26" s="19" t="s">
        <v>314</v>
      </c>
      <c r="B26" s="20" t="s">
        <v>310</v>
      </c>
      <c r="C26" s="18" t="s">
        <v>331</v>
      </c>
      <c r="D26" s="18" t="s">
        <v>351</v>
      </c>
    </row>
    <row r="27" spans="1:4" ht="31.5" x14ac:dyDescent="0.25">
      <c r="A27" s="19" t="s">
        <v>314</v>
      </c>
      <c r="B27" s="20" t="s">
        <v>311</v>
      </c>
      <c r="C27" s="18" t="s">
        <v>350</v>
      </c>
      <c r="D27" s="18" t="s">
        <v>352</v>
      </c>
    </row>
    <row r="28" spans="1:4" x14ac:dyDescent="0.25">
      <c r="A28" s="27" t="s">
        <v>315</v>
      </c>
      <c r="B28" s="27" t="s">
        <v>285</v>
      </c>
      <c r="C28" s="18" t="s">
        <v>331</v>
      </c>
    </row>
    <row r="29" spans="1:4" ht="31.5" x14ac:dyDescent="0.25">
      <c r="A29" s="27" t="s">
        <v>315</v>
      </c>
      <c r="B29" s="27" t="s">
        <v>294</v>
      </c>
      <c r="C29" s="18" t="s">
        <v>331</v>
      </c>
      <c r="D29" s="18" t="s">
        <v>334</v>
      </c>
    </row>
    <row r="30" spans="1:4" ht="31.5" x14ac:dyDescent="0.25">
      <c r="A30" s="27" t="s">
        <v>315</v>
      </c>
      <c r="B30" s="27" t="s">
        <v>282</v>
      </c>
      <c r="C30" s="21" t="s">
        <v>329</v>
      </c>
      <c r="D30" s="21" t="s">
        <v>339</v>
      </c>
    </row>
    <row r="31" spans="1:4" x14ac:dyDescent="0.25">
      <c r="A31" s="27" t="s">
        <v>315</v>
      </c>
      <c r="B31" s="27" t="s">
        <v>1</v>
      </c>
      <c r="C31" s="18" t="s">
        <v>326</v>
      </c>
      <c r="D31" s="18" t="s">
        <v>328</v>
      </c>
    </row>
    <row r="32" spans="1:4" ht="31.5" x14ac:dyDescent="0.25">
      <c r="A32" s="27" t="s">
        <v>315</v>
      </c>
      <c r="B32" s="27" t="s">
        <v>2</v>
      </c>
      <c r="C32" s="18" t="s">
        <v>326</v>
      </c>
      <c r="D32" s="18" t="s">
        <v>366</v>
      </c>
    </row>
    <row r="33" spans="1:4" x14ac:dyDescent="0.25">
      <c r="A33" s="27" t="s">
        <v>315</v>
      </c>
      <c r="B33" s="27" t="s">
        <v>3</v>
      </c>
      <c r="C33" s="18" t="s">
        <v>333</v>
      </c>
      <c r="D33" s="18" t="s">
        <v>332</v>
      </c>
    </row>
    <row r="34" spans="1:4" ht="31.5" x14ac:dyDescent="0.25">
      <c r="A34" s="27" t="s">
        <v>315</v>
      </c>
      <c r="B34" s="27" t="s">
        <v>4</v>
      </c>
      <c r="C34" s="18" t="s">
        <v>333</v>
      </c>
      <c r="D34" s="18" t="s">
        <v>337</v>
      </c>
    </row>
    <row r="35" spans="1:4" ht="31.5" x14ac:dyDescent="0.25">
      <c r="A35" s="27" t="s">
        <v>315</v>
      </c>
      <c r="B35" s="27" t="s">
        <v>5</v>
      </c>
      <c r="C35" s="18" t="s">
        <v>329</v>
      </c>
      <c r="D35" s="18" t="s">
        <v>338</v>
      </c>
    </row>
    <row r="36" spans="1:4" ht="31.5" x14ac:dyDescent="0.25">
      <c r="A36" s="27" t="s">
        <v>315</v>
      </c>
      <c r="B36" s="27" t="s">
        <v>327</v>
      </c>
      <c r="C36" s="18" t="s">
        <v>333</v>
      </c>
      <c r="D36" s="21" t="s">
        <v>341</v>
      </c>
    </row>
    <row r="37" spans="1:4" x14ac:dyDescent="0.25">
      <c r="A37" s="27" t="s">
        <v>315</v>
      </c>
      <c r="B37" s="27" t="s">
        <v>345</v>
      </c>
      <c r="C37" s="22" t="s">
        <v>342</v>
      </c>
      <c r="D37" s="21" t="s">
        <v>340</v>
      </c>
    </row>
    <row r="38" spans="1:4" ht="63" x14ac:dyDescent="0.25">
      <c r="A38" s="27" t="s">
        <v>315</v>
      </c>
      <c r="B38" s="27" t="s">
        <v>346</v>
      </c>
      <c r="C38" s="21" t="s">
        <v>331</v>
      </c>
      <c r="D38" s="21" t="s">
        <v>336</v>
      </c>
    </row>
    <row r="39" spans="1:4" ht="47.25" x14ac:dyDescent="0.25">
      <c r="A39" s="27" t="s">
        <v>315</v>
      </c>
      <c r="B39" s="27" t="s">
        <v>347</v>
      </c>
      <c r="C39" s="18" t="s">
        <v>331</v>
      </c>
      <c r="D39" s="18" t="s">
        <v>343</v>
      </c>
    </row>
    <row r="40" spans="1:4" ht="47.25" x14ac:dyDescent="0.25">
      <c r="A40" s="27" t="s">
        <v>315</v>
      </c>
      <c r="B40" s="27" t="s">
        <v>348</v>
      </c>
      <c r="C40" s="18" t="s">
        <v>331</v>
      </c>
      <c r="D40" s="18" t="s">
        <v>344</v>
      </c>
    </row>
    <row r="41" spans="1:4" ht="31.5" x14ac:dyDescent="0.25">
      <c r="A41" s="27" t="s">
        <v>315</v>
      </c>
      <c r="B41" s="27" t="s">
        <v>6</v>
      </c>
      <c r="C41" s="18" t="s">
        <v>361</v>
      </c>
      <c r="D41" s="18" t="s">
        <v>362</v>
      </c>
    </row>
    <row r="42" spans="1:4" ht="31.5" x14ac:dyDescent="0.25">
      <c r="A42" s="27" t="s">
        <v>315</v>
      </c>
      <c r="B42" s="27" t="s">
        <v>7</v>
      </c>
      <c r="C42" s="18" t="s">
        <v>361</v>
      </c>
      <c r="D42" s="18" t="s">
        <v>363</v>
      </c>
    </row>
    <row r="43" spans="1:4" x14ac:dyDescent="0.25">
      <c r="A43" s="27" t="s">
        <v>315</v>
      </c>
      <c r="B43" s="27" t="s">
        <v>284</v>
      </c>
      <c r="C43" s="18" t="s">
        <v>350</v>
      </c>
    </row>
    <row r="44" spans="1:4" ht="31.5" x14ac:dyDescent="0.25">
      <c r="A44" s="27" t="s">
        <v>315</v>
      </c>
      <c r="B44" s="27" t="s">
        <v>8</v>
      </c>
      <c r="C44" s="18" t="s">
        <v>361</v>
      </c>
      <c r="D44" s="18" t="s">
        <v>364</v>
      </c>
    </row>
    <row r="45" spans="1:4" ht="31.5" x14ac:dyDescent="0.25">
      <c r="A45" s="27" t="s">
        <v>315</v>
      </c>
      <c r="B45" s="27" t="s">
        <v>9</v>
      </c>
      <c r="C45" s="18" t="s">
        <v>361</v>
      </c>
      <c r="D45" s="18" t="s">
        <v>365</v>
      </c>
    </row>
    <row r="46" spans="1:4" ht="31.5" x14ac:dyDescent="0.25">
      <c r="A46" s="27" t="s">
        <v>315</v>
      </c>
      <c r="B46" s="27" t="s">
        <v>10</v>
      </c>
      <c r="C46" s="18" t="s">
        <v>361</v>
      </c>
    </row>
    <row r="47" spans="1:4" ht="31.5" x14ac:dyDescent="0.25">
      <c r="A47" s="27" t="s">
        <v>315</v>
      </c>
      <c r="B47" s="27" t="s">
        <v>11</v>
      </c>
      <c r="C47" s="18" t="s">
        <v>361</v>
      </c>
    </row>
    <row r="48" spans="1:4" ht="31.5" x14ac:dyDescent="0.25">
      <c r="A48" s="27" t="s">
        <v>315</v>
      </c>
      <c r="B48" s="27" t="s">
        <v>12</v>
      </c>
      <c r="C48" s="18" t="s">
        <v>361</v>
      </c>
    </row>
    <row r="49" spans="1:4" x14ac:dyDescent="0.25">
      <c r="A49" s="27" t="s">
        <v>315</v>
      </c>
      <c r="B49" s="27" t="s">
        <v>212</v>
      </c>
      <c r="C49" s="18" t="s">
        <v>350</v>
      </c>
    </row>
    <row r="50" spans="1:4" ht="31.5" x14ac:dyDescent="0.25">
      <c r="A50" s="27" t="s">
        <v>315</v>
      </c>
      <c r="B50" s="27" t="s">
        <v>13</v>
      </c>
      <c r="C50" s="18" t="s">
        <v>361</v>
      </c>
    </row>
    <row r="51" spans="1:4" x14ac:dyDescent="0.25">
      <c r="A51" s="27" t="s">
        <v>315</v>
      </c>
      <c r="B51" s="27" t="s">
        <v>213</v>
      </c>
      <c r="C51" s="18" t="s">
        <v>350</v>
      </c>
    </row>
    <row r="52" spans="1:4" ht="31.5" x14ac:dyDescent="0.25">
      <c r="A52" s="27" t="s">
        <v>315</v>
      </c>
      <c r="B52" s="27" t="s">
        <v>14</v>
      </c>
      <c r="C52" s="18" t="s">
        <v>361</v>
      </c>
    </row>
    <row r="53" spans="1:4" ht="31.5" x14ac:dyDescent="0.25">
      <c r="A53" s="27" t="s">
        <v>315</v>
      </c>
      <c r="B53" s="27" t="s">
        <v>15</v>
      </c>
      <c r="C53" s="18" t="s">
        <v>361</v>
      </c>
    </row>
    <row r="54" spans="1:4" ht="31.5" x14ac:dyDescent="0.25">
      <c r="A54" s="27" t="s">
        <v>315</v>
      </c>
      <c r="B54" s="27" t="s">
        <v>16</v>
      </c>
      <c r="C54" s="18" t="s">
        <v>361</v>
      </c>
    </row>
    <row r="55" spans="1:4" ht="47.25" x14ac:dyDescent="0.25">
      <c r="A55" s="27" t="s">
        <v>315</v>
      </c>
      <c r="B55" s="27" t="s">
        <v>17</v>
      </c>
      <c r="C55" s="18" t="s">
        <v>361</v>
      </c>
    </row>
    <row r="56" spans="1:4" x14ac:dyDescent="0.25">
      <c r="A56" s="16" t="s">
        <v>315</v>
      </c>
      <c r="B56" s="16" t="s">
        <v>283</v>
      </c>
      <c r="C56" s="18" t="s">
        <v>318</v>
      </c>
      <c r="D56" s="18" t="s">
        <v>324</v>
      </c>
    </row>
    <row r="57" spans="1:4" x14ac:dyDescent="0.25">
      <c r="A57" s="16" t="s">
        <v>315</v>
      </c>
      <c r="B57" s="16" t="s">
        <v>0</v>
      </c>
      <c r="C57" s="18" t="s">
        <v>318</v>
      </c>
      <c r="D57" s="18" t="s">
        <v>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608C4-69EC-4F6B-B506-53BA375AE1E8}">
  <sheetPr>
    <tabColor rgb="FF92D050"/>
  </sheetPr>
  <dimension ref="A1:BG68"/>
  <sheetViews>
    <sheetView topLeftCell="S1" zoomScale="85" zoomScaleNormal="85" workbookViewId="0">
      <pane ySplit="1" topLeftCell="A2" activePane="bottomLeft" state="frozen"/>
      <selection pane="bottomLeft" activeCell="AL1" sqref="AL1"/>
    </sheetView>
  </sheetViews>
  <sheetFormatPr defaultColWidth="14.75" defaultRowHeight="15.75" x14ac:dyDescent="0.25"/>
  <cols>
    <col min="1" max="1" width="13.25" style="11" bestFit="1" customWidth="1"/>
    <col min="2" max="2" width="14.625" style="26" bestFit="1" customWidth="1"/>
    <col min="3" max="3" width="37.125" style="12" bestFit="1" customWidth="1"/>
    <col min="4" max="4" width="40.375" style="12" bestFit="1" customWidth="1"/>
    <col min="5" max="5" width="6.5" style="12" bestFit="1" customWidth="1"/>
    <col min="6" max="6" width="9.75" style="12" bestFit="1" customWidth="1"/>
    <col min="7" max="7" width="16" style="12" bestFit="1" customWidth="1"/>
    <col min="8" max="8" width="17.375" style="12" bestFit="1" customWidth="1"/>
    <col min="9" max="9" width="21.5" style="12" bestFit="1" customWidth="1"/>
    <col min="10" max="10" width="16.25" style="12" bestFit="1" customWidth="1"/>
    <col min="11" max="11" width="16" style="12" bestFit="1" customWidth="1"/>
    <col min="12" max="12" width="17.5" style="12" bestFit="1" customWidth="1"/>
    <col min="13" max="13" width="19.25" style="12" bestFit="1" customWidth="1"/>
    <col min="14" max="17" width="11.875" style="12" bestFit="1" customWidth="1"/>
    <col min="18" max="18" width="13.125" style="12" bestFit="1" customWidth="1"/>
    <col min="19" max="19" width="13.875" style="12" bestFit="1" customWidth="1"/>
    <col min="20" max="20" width="13.625" style="12" bestFit="1" customWidth="1"/>
    <col min="21" max="21" width="15" style="12" bestFit="1" customWidth="1"/>
    <col min="22" max="22" width="16.75" style="12" bestFit="1" customWidth="1"/>
    <col min="23" max="23" width="14.875" style="12" bestFit="1" customWidth="1"/>
    <col min="24" max="24" width="11.875" style="12" bestFit="1" customWidth="1"/>
    <col min="25" max="25" width="6.625" style="12" bestFit="1" customWidth="1"/>
    <col min="26" max="26" width="11.875" style="12" bestFit="1" customWidth="1"/>
    <col min="27" max="27" width="14.375" style="12" bestFit="1" customWidth="1"/>
    <col min="28" max="28" width="13.625" style="12" bestFit="1" customWidth="1"/>
    <col min="29" max="29" width="14.75" style="12"/>
    <col min="30" max="30" width="14.125" style="12" bestFit="1" customWidth="1"/>
    <col min="31" max="31" width="11.875" style="12" bestFit="1" customWidth="1"/>
    <col min="32" max="32" width="12.5" style="12" bestFit="1" customWidth="1"/>
    <col min="33" max="33" width="14.5" style="12" bestFit="1" customWidth="1"/>
    <col min="34" max="34" width="14.75" style="12"/>
    <col min="35" max="35" width="12.5" style="12" bestFit="1" customWidth="1"/>
    <col min="36" max="36" width="13.125" style="12" bestFit="1" customWidth="1"/>
    <col min="37" max="39" width="14.25" style="12" bestFit="1" customWidth="1"/>
    <col min="40" max="40" width="11.875" style="12" bestFit="1" customWidth="1"/>
    <col min="41" max="41" width="14.75" style="12"/>
    <col min="42" max="42" width="14.375" style="12" bestFit="1" customWidth="1"/>
    <col min="43" max="43" width="14.75" style="12"/>
    <col min="44" max="44" width="14.5" style="12" bestFit="1" customWidth="1"/>
    <col min="45" max="46" width="11.875" style="12" bestFit="1" customWidth="1"/>
    <col min="47" max="47" width="14.75" style="12"/>
    <col min="48" max="48" width="13.25" style="12" bestFit="1" customWidth="1"/>
    <col min="49" max="49" width="14.75" style="12"/>
    <col min="50" max="50" width="13.25" style="12" bestFit="1" customWidth="1"/>
    <col min="51" max="52" width="14.75" style="12"/>
    <col min="53" max="54" width="14.5" style="12" bestFit="1" customWidth="1"/>
    <col min="55" max="55" width="27.625" style="12" bestFit="1" customWidth="1"/>
    <col min="56" max="56" width="19" style="12" bestFit="1" customWidth="1"/>
    <col min="57" max="16384" width="14.75" style="12"/>
  </cols>
  <sheetData>
    <row r="1" spans="1:59" s="3" customFormat="1" ht="78.75" x14ac:dyDescent="0.25">
      <c r="A1" s="1" t="s">
        <v>286</v>
      </c>
      <c r="B1" s="24" t="s">
        <v>287</v>
      </c>
      <c r="C1" s="1" t="s">
        <v>288</v>
      </c>
      <c r="D1" s="1" t="s">
        <v>289</v>
      </c>
      <c r="E1" s="2" t="s">
        <v>290</v>
      </c>
      <c r="F1" s="2" t="s">
        <v>291</v>
      </c>
      <c r="G1" s="2" t="s">
        <v>312</v>
      </c>
      <c r="H1" s="2" t="s">
        <v>292</v>
      </c>
      <c r="I1" s="2" t="s">
        <v>293</v>
      </c>
      <c r="J1" s="2" t="s">
        <v>295</v>
      </c>
      <c r="K1" s="2" t="s">
        <v>296</v>
      </c>
      <c r="L1" s="2" t="s">
        <v>297</v>
      </c>
      <c r="M1" s="2" t="s">
        <v>298</v>
      </c>
      <c r="N1" s="2" t="s">
        <v>299</v>
      </c>
      <c r="O1" s="2" t="s">
        <v>300</v>
      </c>
      <c r="P1" s="2" t="s">
        <v>301</v>
      </c>
      <c r="Q1" s="2" t="s">
        <v>302</v>
      </c>
      <c r="R1" s="2" t="s">
        <v>303</v>
      </c>
      <c r="S1" s="2" t="s">
        <v>304</v>
      </c>
      <c r="T1" s="2" t="s">
        <v>305</v>
      </c>
      <c r="U1" s="2" t="s">
        <v>306</v>
      </c>
      <c r="V1" s="2" t="s">
        <v>307</v>
      </c>
      <c r="W1" s="2" t="s">
        <v>308</v>
      </c>
      <c r="X1" s="2" t="s">
        <v>309</v>
      </c>
      <c r="Y1" s="2" t="s">
        <v>310</v>
      </c>
      <c r="Z1" s="2" t="s">
        <v>311</v>
      </c>
      <c r="AA1" s="14" t="s">
        <v>285</v>
      </c>
      <c r="AB1" s="14" t="s">
        <v>294</v>
      </c>
      <c r="AC1" s="14" t="s">
        <v>282</v>
      </c>
      <c r="AD1" s="14" t="s">
        <v>1</v>
      </c>
      <c r="AE1" s="14" t="s">
        <v>2</v>
      </c>
      <c r="AF1" s="14" t="s">
        <v>3</v>
      </c>
      <c r="AG1" s="14" t="s">
        <v>4</v>
      </c>
      <c r="AH1" s="14" t="s">
        <v>5</v>
      </c>
      <c r="AI1" s="14" t="s">
        <v>327</v>
      </c>
      <c r="AJ1" s="14" t="s">
        <v>345</v>
      </c>
      <c r="AK1" s="14" t="s">
        <v>346</v>
      </c>
      <c r="AL1" s="14" t="s">
        <v>347</v>
      </c>
      <c r="AM1" s="14" t="s">
        <v>348</v>
      </c>
      <c r="AN1" s="14" t="s">
        <v>6</v>
      </c>
      <c r="AO1" s="14" t="s">
        <v>7</v>
      </c>
      <c r="AP1" s="14" t="s">
        <v>284</v>
      </c>
      <c r="AQ1" s="14" t="s">
        <v>8</v>
      </c>
      <c r="AR1" s="14" t="s">
        <v>9</v>
      </c>
      <c r="AS1" s="14" t="s">
        <v>10</v>
      </c>
      <c r="AT1" s="14" t="s">
        <v>11</v>
      </c>
      <c r="AU1" s="14" t="s">
        <v>12</v>
      </c>
      <c r="AV1" s="14" t="s">
        <v>212</v>
      </c>
      <c r="AW1" s="14" t="s">
        <v>13</v>
      </c>
      <c r="AX1" s="14" t="s">
        <v>213</v>
      </c>
      <c r="AY1" s="14" t="s">
        <v>14</v>
      </c>
      <c r="AZ1" s="14" t="s">
        <v>15</v>
      </c>
      <c r="BA1" s="14" t="s">
        <v>16</v>
      </c>
      <c r="BB1" s="14" t="s">
        <v>17</v>
      </c>
      <c r="BC1" s="3" t="s">
        <v>283</v>
      </c>
      <c r="BD1" s="3" t="s">
        <v>0</v>
      </c>
      <c r="BE1" s="4"/>
      <c r="BG1" s="5"/>
    </row>
    <row r="2" spans="1:59" ht="31.5" x14ac:dyDescent="0.25">
      <c r="A2" s="6" t="s">
        <v>102</v>
      </c>
      <c r="B2" s="25" t="s">
        <v>103</v>
      </c>
      <c r="C2" s="7" t="s">
        <v>215</v>
      </c>
      <c r="D2" s="8" t="s">
        <v>101</v>
      </c>
      <c r="E2" s="9">
        <v>4</v>
      </c>
      <c r="F2" s="9">
        <v>1</v>
      </c>
      <c r="G2" s="9">
        <v>18</v>
      </c>
      <c r="H2" s="9">
        <v>22</v>
      </c>
      <c r="I2" s="9">
        <v>9.5793602046160409</v>
      </c>
      <c r="J2" s="9">
        <v>14188</v>
      </c>
      <c r="K2" s="9">
        <v>4946</v>
      </c>
      <c r="L2" s="9">
        <v>12018.666670000001</v>
      </c>
      <c r="M2" s="9">
        <v>3029.3675170000001</v>
      </c>
      <c r="N2" s="9">
        <v>64.294220339999995</v>
      </c>
      <c r="O2" s="9">
        <v>1.10719675</v>
      </c>
      <c r="P2" s="9">
        <v>2.0500000000000002E-8</v>
      </c>
      <c r="Q2" s="9">
        <v>2.7092930000000002E-3</v>
      </c>
      <c r="R2" s="9">
        <v>2.1505263E-2</v>
      </c>
      <c r="S2" s="9">
        <v>18</v>
      </c>
      <c r="T2" s="9">
        <v>1</v>
      </c>
      <c r="U2" s="9">
        <v>9.1161771520000006</v>
      </c>
      <c r="V2" s="9">
        <v>3.5039464950000001</v>
      </c>
      <c r="W2" s="9">
        <v>23732</v>
      </c>
      <c r="X2" s="9">
        <v>9.0055095319999996</v>
      </c>
      <c r="Y2" s="9">
        <v>171</v>
      </c>
      <c r="Z2" s="9">
        <v>2.3508897210000002</v>
      </c>
      <c r="AA2" s="9">
        <v>115</v>
      </c>
      <c r="AB2" s="9">
        <v>12</v>
      </c>
      <c r="AC2" s="9">
        <v>6.16183500555555E-3</v>
      </c>
      <c r="AD2" s="9">
        <v>153.83232879638601</v>
      </c>
      <c r="AE2" s="9">
        <v>0.90594863891601496</v>
      </c>
      <c r="AF2" s="9">
        <v>-2453.3829533129601</v>
      </c>
      <c r="AG2" s="9">
        <v>-2453.3829533129601</v>
      </c>
      <c r="AH2" s="9">
        <v>0.11029151634000001</v>
      </c>
      <c r="AI2" s="9">
        <v>-2453.3831398749498</v>
      </c>
      <c r="AJ2" s="10">
        <v>2.4332478295030101E-5</v>
      </c>
      <c r="AK2" s="9">
        <v>54</v>
      </c>
      <c r="AL2" s="9">
        <v>50</v>
      </c>
      <c r="AM2" s="9">
        <v>60</v>
      </c>
      <c r="AN2" s="9">
        <v>0.19975396832356099</v>
      </c>
      <c r="AO2" s="9">
        <v>1.14190471465187E-2</v>
      </c>
      <c r="AP2" s="9">
        <f>LOG(AO2)</f>
        <v>-1.9423701339425274</v>
      </c>
      <c r="AQ2" s="9">
        <v>6.3796642545560901E-4</v>
      </c>
      <c r="AR2" s="9">
        <v>0.90594863891601496</v>
      </c>
      <c r="AS2" s="9">
        <v>0.17125683155312199</v>
      </c>
      <c r="AT2" s="9">
        <v>0.24660983743649501</v>
      </c>
      <c r="AU2" s="9">
        <v>9.0648077866359797E-3</v>
      </c>
      <c r="AV2" s="9">
        <f>LOG(AU2)</f>
        <v>-2.0426414004033733</v>
      </c>
      <c r="AW2" s="9">
        <v>1.5663987855306899E-2</v>
      </c>
      <c r="AX2" s="9">
        <f>LOG(AW2)</f>
        <v>-1.8050976622605008</v>
      </c>
      <c r="AY2" s="9">
        <v>5.0643831721505295E-4</v>
      </c>
      <c r="AZ2" s="9">
        <v>8.7512541214761197E-4</v>
      </c>
      <c r="BA2" s="9">
        <v>0.90594863891601496</v>
      </c>
      <c r="BB2" s="9">
        <v>0.90594863891601496</v>
      </c>
      <c r="BC2" s="9" t="s">
        <v>104</v>
      </c>
      <c r="BD2" s="9" t="s">
        <v>104</v>
      </c>
    </row>
    <row r="3" spans="1:59" ht="31.5" x14ac:dyDescent="0.25">
      <c r="A3" s="6" t="s">
        <v>102</v>
      </c>
      <c r="B3" s="25" t="s">
        <v>103</v>
      </c>
      <c r="C3" s="7" t="s">
        <v>216</v>
      </c>
      <c r="D3" s="8" t="s">
        <v>105</v>
      </c>
      <c r="E3" s="9">
        <v>4</v>
      </c>
      <c r="F3" s="9">
        <v>1</v>
      </c>
      <c r="G3" s="9">
        <v>22</v>
      </c>
      <c r="H3" s="9">
        <v>30</v>
      </c>
      <c r="I3" s="9">
        <v>11.0605309203458</v>
      </c>
      <c r="J3" s="9">
        <v>31350</v>
      </c>
      <c r="K3" s="9">
        <v>9304</v>
      </c>
      <c r="L3" s="9">
        <v>26326.181820000002</v>
      </c>
      <c r="M3" s="9">
        <v>6967.202123</v>
      </c>
      <c r="N3" s="9">
        <v>105.2872972</v>
      </c>
      <c r="O3" s="9">
        <v>1.6966279099999999</v>
      </c>
      <c r="P3" s="9">
        <v>1.4300000000000001E-8</v>
      </c>
      <c r="Q3" s="9">
        <v>1.9555950000000001E-3</v>
      </c>
      <c r="R3" s="9">
        <v>2.5076340999999999E-2</v>
      </c>
      <c r="S3" s="9">
        <v>22</v>
      </c>
      <c r="T3" s="9">
        <v>1</v>
      </c>
      <c r="U3" s="9">
        <v>10.75755493</v>
      </c>
      <c r="V3" s="9">
        <v>4.2980325620000004</v>
      </c>
      <c r="W3" s="9">
        <v>53840</v>
      </c>
      <c r="X3" s="9">
        <v>10.46367289</v>
      </c>
      <c r="Y3" s="9">
        <v>253</v>
      </c>
      <c r="Z3" s="9">
        <v>3.4632680150000001</v>
      </c>
      <c r="AA3" s="9">
        <v>207</v>
      </c>
      <c r="AB3" s="9">
        <v>17</v>
      </c>
      <c r="AC3" s="9">
        <v>1.7096086710833298E-2</v>
      </c>
      <c r="AD3" s="9">
        <v>153.907135009765</v>
      </c>
      <c r="AE3" s="9">
        <v>1.7007942199707</v>
      </c>
      <c r="AF3" s="9">
        <v>-2453.7222317386399</v>
      </c>
      <c r="AG3" s="9">
        <v>-2453.7222317386399</v>
      </c>
      <c r="AH3" s="9">
        <v>0.46662566776361097</v>
      </c>
      <c r="AI3" s="9">
        <v>-2453.7223537990799</v>
      </c>
      <c r="AJ3" s="10">
        <v>3.05132415299348E-5</v>
      </c>
      <c r="AK3" s="9">
        <v>84</v>
      </c>
      <c r="AL3" s="9">
        <v>78</v>
      </c>
      <c r="AM3" s="9">
        <v>91</v>
      </c>
      <c r="AN3" s="9">
        <v>0.280071974051046</v>
      </c>
      <c r="AO3" s="9">
        <v>3.1181388207771402E-2</v>
      </c>
      <c r="AP3" s="9">
        <f t="shared" ref="AP3:AP66" si="0">LOG(AO3)</f>
        <v>-1.5061045537541629</v>
      </c>
      <c r="AQ3" s="9">
        <v>1.1424140449004801E-3</v>
      </c>
      <c r="AR3" s="9">
        <v>1.7007942199707</v>
      </c>
      <c r="AS3" s="9">
        <v>0.24149063068687099</v>
      </c>
      <c r="AT3" s="9">
        <v>0.32869558065713</v>
      </c>
      <c r="AU3" s="9">
        <v>2.4965564829618699E-2</v>
      </c>
      <c r="AV3" s="9">
        <f t="shared" ref="AV3:AV66" si="1">LOG(AU3)</f>
        <v>-1.602658603868367</v>
      </c>
      <c r="AW3" s="9">
        <v>3.9644392298885299E-2</v>
      </c>
      <c r="AX3" s="9">
        <f t="shared" ref="AX3:AX66" si="2">LOG(AW3)</f>
        <v>-1.4018182349765269</v>
      </c>
      <c r="AY3" s="9">
        <v>9.1468063288861604E-4</v>
      </c>
      <c r="AZ3" s="9">
        <v>1.4524789679666401E-3</v>
      </c>
      <c r="BA3" s="9">
        <v>1.7007942199707</v>
      </c>
      <c r="BB3" s="9">
        <v>1.7007942199707</v>
      </c>
      <c r="BC3" s="9" t="s">
        <v>106</v>
      </c>
      <c r="BD3" s="9" t="s">
        <v>106</v>
      </c>
    </row>
    <row r="4" spans="1:59" ht="31.5" x14ac:dyDescent="0.25">
      <c r="A4" s="6" t="s">
        <v>102</v>
      </c>
      <c r="B4" s="25" t="s">
        <v>108</v>
      </c>
      <c r="C4" s="7" t="s">
        <v>217</v>
      </c>
      <c r="D4" s="8" t="s">
        <v>107</v>
      </c>
      <c r="E4" s="9">
        <v>4</v>
      </c>
      <c r="F4" s="9">
        <v>1</v>
      </c>
      <c r="G4" s="9">
        <v>18</v>
      </c>
      <c r="H4" s="9">
        <v>22</v>
      </c>
      <c r="I4" s="9">
        <v>9.5793602046160409</v>
      </c>
      <c r="J4" s="9">
        <v>14188</v>
      </c>
      <c r="K4" s="9">
        <v>4948</v>
      </c>
      <c r="L4" s="9">
        <v>12020</v>
      </c>
      <c r="M4" s="9">
        <v>3029.5821489999998</v>
      </c>
      <c r="N4" s="9">
        <v>73.772712679999998</v>
      </c>
      <c r="O4" s="9">
        <v>1.121101637</v>
      </c>
      <c r="P4" s="9">
        <v>1.39E-8</v>
      </c>
      <c r="Q4" s="9">
        <v>3.1084440000000001E-3</v>
      </c>
      <c r="R4" s="9">
        <v>2.3331685000000001E-2</v>
      </c>
      <c r="S4" s="9">
        <v>18</v>
      </c>
      <c r="T4" s="9">
        <v>1</v>
      </c>
      <c r="U4" s="9">
        <v>9.1164201739999999</v>
      </c>
      <c r="V4" s="9">
        <v>3.5038988529999999</v>
      </c>
      <c r="W4" s="9">
        <v>23734</v>
      </c>
      <c r="X4" s="9">
        <v>9.0055095319999996</v>
      </c>
      <c r="Y4" s="9">
        <v>171</v>
      </c>
      <c r="Z4" s="9">
        <v>2.586269218</v>
      </c>
      <c r="AA4" s="9">
        <v>277</v>
      </c>
      <c r="AB4" s="9">
        <v>19</v>
      </c>
      <c r="AC4" s="9">
        <v>1.56797663344444E-2</v>
      </c>
      <c r="AD4" s="9">
        <v>153.94442749023401</v>
      </c>
      <c r="AE4" s="9">
        <v>1.82913970947265</v>
      </c>
      <c r="AF4" s="9">
        <v>-2452.7055602822602</v>
      </c>
      <c r="AG4" s="9">
        <v>-2452.7055602822602</v>
      </c>
      <c r="AH4" s="9">
        <v>0.485547766794722</v>
      </c>
      <c r="AI4" s="9">
        <v>-2452.7057838317</v>
      </c>
      <c r="AJ4" s="10">
        <v>4.9103408100393303E-5</v>
      </c>
      <c r="AK4" s="9">
        <v>130</v>
      </c>
      <c r="AL4" s="9">
        <v>117</v>
      </c>
      <c r="AM4" s="9">
        <v>144</v>
      </c>
      <c r="AN4" s="9">
        <v>0.40287845651693399</v>
      </c>
      <c r="AO4" s="9">
        <v>5.0190637358648101E-2</v>
      </c>
      <c r="AP4" s="9">
        <f t="shared" si="0"/>
        <v>-1.2993772892833477</v>
      </c>
      <c r="AQ4" s="9">
        <v>1.62080338903742E-3</v>
      </c>
      <c r="AR4" s="9">
        <v>1.82913970947265</v>
      </c>
      <c r="AS4" s="9">
        <v>0.32633154977871698</v>
      </c>
      <c r="AT4" s="9">
        <v>0.49432471445770099</v>
      </c>
      <c r="AU4" s="9">
        <v>3.6588974634454499E-2</v>
      </c>
      <c r="AV4" s="9">
        <f t="shared" si="1"/>
        <v>-1.4366497609653728</v>
      </c>
      <c r="AW4" s="9">
        <v>6.8215038735878697E-2</v>
      </c>
      <c r="AX4" s="9">
        <f t="shared" si="2"/>
        <v>-1.166119869918109</v>
      </c>
      <c r="AY4" s="9">
        <v>1.1815656706082799E-3</v>
      </c>
      <c r="AZ4" s="9">
        <v>2.20286435448863E-3</v>
      </c>
      <c r="BA4" s="9">
        <v>1.82913970947265</v>
      </c>
      <c r="BB4" s="9">
        <v>1.82913970947265</v>
      </c>
      <c r="BC4" s="9" t="s">
        <v>109</v>
      </c>
      <c r="BD4" s="9" t="s">
        <v>109</v>
      </c>
    </row>
    <row r="5" spans="1:59" ht="31.5" x14ac:dyDescent="0.25">
      <c r="A5" s="6" t="s">
        <v>102</v>
      </c>
      <c r="B5" s="25" t="s">
        <v>108</v>
      </c>
      <c r="C5" s="7" t="s">
        <v>218</v>
      </c>
      <c r="D5" s="8" t="s">
        <v>110</v>
      </c>
      <c r="E5" s="9">
        <v>4</v>
      </c>
      <c r="F5" s="9">
        <v>1</v>
      </c>
      <c r="G5" s="9">
        <v>22</v>
      </c>
      <c r="H5" s="9">
        <v>30</v>
      </c>
      <c r="I5" s="9">
        <v>11.0605309203458</v>
      </c>
      <c r="J5" s="9">
        <v>31352</v>
      </c>
      <c r="K5" s="9">
        <v>9304</v>
      </c>
      <c r="L5" s="9">
        <v>26325.909090000001</v>
      </c>
      <c r="M5" s="9">
        <v>6967.2557390000002</v>
      </c>
      <c r="N5" s="9">
        <v>122.8372993</v>
      </c>
      <c r="O5" s="9">
        <v>1.658187579</v>
      </c>
      <c r="P5" s="9">
        <v>2.0199999999999999E-8</v>
      </c>
      <c r="Q5" s="9">
        <v>2.281567E-3</v>
      </c>
      <c r="R5" s="9">
        <v>2.6627584999999999E-2</v>
      </c>
      <c r="S5" s="9">
        <v>22</v>
      </c>
      <c r="T5" s="9">
        <v>1</v>
      </c>
      <c r="U5" s="9">
        <v>10.75744349</v>
      </c>
      <c r="V5" s="9">
        <v>4.2981688819999997</v>
      </c>
      <c r="W5" s="9">
        <v>53840</v>
      </c>
      <c r="X5" s="9">
        <v>10.46367289</v>
      </c>
      <c r="Y5" s="9">
        <v>253</v>
      </c>
      <c r="Z5" s="9">
        <v>3.6295438280000001</v>
      </c>
      <c r="AA5" s="9">
        <v>878</v>
      </c>
      <c r="AB5" s="9">
        <v>15</v>
      </c>
      <c r="AC5" s="9">
        <v>0.198524267943333</v>
      </c>
      <c r="AD5" s="9">
        <v>163.050037384033</v>
      </c>
      <c r="AE5" s="9">
        <v>12.268199920654199</v>
      </c>
      <c r="AF5" s="9">
        <v>-2452.7848602153099</v>
      </c>
      <c r="AG5" s="9">
        <v>-2452.7848602153099</v>
      </c>
      <c r="AH5" s="9">
        <v>6.75013340328527</v>
      </c>
      <c r="AI5" s="9">
        <v>-2452.78507230286</v>
      </c>
      <c r="AJ5" s="10">
        <v>1.5196864413472499E-5</v>
      </c>
      <c r="AK5" s="9">
        <v>404</v>
      </c>
      <c r="AL5" s="9">
        <v>393</v>
      </c>
      <c r="AM5" s="9">
        <v>416</v>
      </c>
      <c r="AN5" s="9">
        <v>2.5974939397490502</v>
      </c>
      <c r="AO5" s="9">
        <v>0.65761680607516704</v>
      </c>
      <c r="AP5" s="9">
        <f t="shared" si="0"/>
        <v>-0.18202709648314788</v>
      </c>
      <c r="AQ5" s="9">
        <v>1.9340787390922601E-2</v>
      </c>
      <c r="AR5" s="9">
        <v>12.268199920654199</v>
      </c>
      <c r="AS5" s="9">
        <v>2.4579718992028998</v>
      </c>
      <c r="AT5" s="9">
        <v>2.7540921921699599</v>
      </c>
      <c r="AU5" s="9">
        <v>0.605349878124676</v>
      </c>
      <c r="AV5" s="9">
        <f t="shared" si="1"/>
        <v>-0.21799354068868301</v>
      </c>
      <c r="AW5" s="9">
        <v>0.71797413663476695</v>
      </c>
      <c r="AX5" s="9">
        <f t="shared" si="2"/>
        <v>-0.14389119993473434</v>
      </c>
      <c r="AY5" s="9">
        <v>1.78035950142552E-2</v>
      </c>
      <c r="AZ5" s="9">
        <v>2.11159219176753E-2</v>
      </c>
      <c r="BA5" s="9">
        <v>12.268199920654199</v>
      </c>
      <c r="BB5" s="9">
        <v>12.268199920654199</v>
      </c>
      <c r="BC5" s="9" t="s">
        <v>111</v>
      </c>
      <c r="BD5" s="9" t="s">
        <v>111</v>
      </c>
    </row>
    <row r="6" spans="1:59" ht="31.5" x14ac:dyDescent="0.25">
      <c r="A6" s="6" t="s">
        <v>102</v>
      </c>
      <c r="B6" s="25">
        <v>2</v>
      </c>
      <c r="C6" s="7" t="s">
        <v>219</v>
      </c>
      <c r="D6" s="8" t="s">
        <v>112</v>
      </c>
      <c r="E6" s="9">
        <v>4</v>
      </c>
      <c r="F6" s="9">
        <v>1</v>
      </c>
      <c r="G6" s="9">
        <v>19</v>
      </c>
      <c r="H6" s="9">
        <v>22</v>
      </c>
      <c r="I6" s="9">
        <v>10.347134283588201</v>
      </c>
      <c r="J6" s="9">
        <v>17573</v>
      </c>
      <c r="K6" s="9">
        <v>5869</v>
      </c>
      <c r="L6" s="9">
        <v>14843.631579999999</v>
      </c>
      <c r="M6" s="9">
        <v>3794.6301149999999</v>
      </c>
      <c r="N6" s="9">
        <v>78.614457259999995</v>
      </c>
      <c r="O6" s="9">
        <v>0.96266728199999996</v>
      </c>
      <c r="P6" s="9">
        <v>1.7199999999999999E-8</v>
      </c>
      <c r="Q6" s="9">
        <v>2.6558939999999998E-3</v>
      </c>
      <c r="R6" s="9">
        <v>1.7864531999999999E-2</v>
      </c>
      <c r="S6" s="9">
        <v>19</v>
      </c>
      <c r="T6" s="9">
        <v>1</v>
      </c>
      <c r="U6" s="9">
        <v>9.528006757</v>
      </c>
      <c r="V6" s="9">
        <v>3.7020300420000001</v>
      </c>
      <c r="W6" s="9">
        <v>29601</v>
      </c>
      <c r="X6" s="9">
        <v>9.7568367590000005</v>
      </c>
      <c r="Y6" s="9">
        <v>189</v>
      </c>
      <c r="Z6" s="9">
        <v>2.4661977479999999</v>
      </c>
      <c r="AA6" s="9">
        <v>228</v>
      </c>
      <c r="AB6" s="9">
        <v>26</v>
      </c>
      <c r="AC6" s="9">
        <v>1.55845335752777E-2</v>
      </c>
      <c r="AD6" s="9">
        <v>153.881565093994</v>
      </c>
      <c r="AE6" s="9">
        <v>1.49272155761718</v>
      </c>
      <c r="AF6" s="9">
        <v>-2454.2114388360701</v>
      </c>
      <c r="AG6" s="9">
        <v>-2454.2114388360701</v>
      </c>
      <c r="AH6" s="9">
        <v>0.466630869621666</v>
      </c>
      <c r="AI6" s="9">
        <v>-2454.21163859541</v>
      </c>
      <c r="AJ6" s="10">
        <v>5.2181842790716997E-5</v>
      </c>
      <c r="AK6" s="9">
        <v>98</v>
      </c>
      <c r="AL6" s="9">
        <v>93</v>
      </c>
      <c r="AM6" s="9">
        <v>103</v>
      </c>
      <c r="AN6" s="9">
        <v>0.27577904430893102</v>
      </c>
      <c r="AO6" s="9">
        <v>3.70550285243769E-2</v>
      </c>
      <c r="AP6" s="9">
        <f t="shared" si="0"/>
        <v>-1.4311528480840392</v>
      </c>
      <c r="AQ6" s="9">
        <v>1.23756350847349E-3</v>
      </c>
      <c r="AR6" s="9">
        <v>1.49272155761718</v>
      </c>
      <c r="AS6" s="9">
        <v>0.248356200981668</v>
      </c>
      <c r="AT6" s="9">
        <v>0.304637638595736</v>
      </c>
      <c r="AU6" s="9">
        <v>3.1667791033903998E-2</v>
      </c>
      <c r="AV6" s="9">
        <f t="shared" si="1"/>
        <v>-1.4993822294997192</v>
      </c>
      <c r="AW6" s="9">
        <v>4.3021009692344098E-2</v>
      </c>
      <c r="AX6" s="9">
        <f t="shared" si="2"/>
        <v>-1.3663194010460078</v>
      </c>
      <c r="AY6" s="9">
        <v>1.0576405993519E-3</v>
      </c>
      <c r="AZ6" s="9">
        <v>1.4368152937166E-3</v>
      </c>
      <c r="BA6" s="9">
        <v>1.49272155761718</v>
      </c>
      <c r="BB6" s="9">
        <v>1.49272155761718</v>
      </c>
      <c r="BC6" s="9" t="s">
        <v>113</v>
      </c>
      <c r="BD6" s="9" t="s">
        <v>113</v>
      </c>
    </row>
    <row r="7" spans="1:59" ht="31.5" x14ac:dyDescent="0.25">
      <c r="A7" s="6" t="s">
        <v>102</v>
      </c>
      <c r="B7" s="25">
        <v>2</v>
      </c>
      <c r="C7" s="7" t="s">
        <v>220</v>
      </c>
      <c r="D7" s="8" t="s">
        <v>114</v>
      </c>
      <c r="E7" s="9">
        <v>4</v>
      </c>
      <c r="F7" s="9">
        <v>1</v>
      </c>
      <c r="G7" s="9">
        <v>28</v>
      </c>
      <c r="H7" s="9">
        <v>38</v>
      </c>
      <c r="I7" s="9">
        <v>14.3270072480666</v>
      </c>
      <c r="J7" s="9">
        <v>81324</v>
      </c>
      <c r="K7" s="9">
        <v>19726</v>
      </c>
      <c r="L7" s="9">
        <v>67692.214290000004</v>
      </c>
      <c r="M7" s="9">
        <v>18789.084350000001</v>
      </c>
      <c r="N7" s="9">
        <v>180.1722034</v>
      </c>
      <c r="O7" s="9">
        <v>1.892642564</v>
      </c>
      <c r="P7" s="9">
        <v>1.07E-8</v>
      </c>
      <c r="Q7" s="9">
        <v>1.2543490000000001E-3</v>
      </c>
      <c r="R7" s="9">
        <v>1.9952913999999999E-2</v>
      </c>
      <c r="S7" s="9">
        <v>28</v>
      </c>
      <c r="T7" s="9">
        <v>1</v>
      </c>
      <c r="U7" s="9">
        <v>13.19554714</v>
      </c>
      <c r="V7" s="9">
        <v>5.4944770189999996</v>
      </c>
      <c r="W7" s="9">
        <v>143639</v>
      </c>
      <c r="X7" s="9">
        <v>13.67856634</v>
      </c>
      <c r="Y7" s="9">
        <v>377</v>
      </c>
      <c r="Z7" s="9">
        <v>4.2158268249999997</v>
      </c>
      <c r="AA7" s="9">
        <v>878</v>
      </c>
      <c r="AB7" s="9">
        <v>36</v>
      </c>
      <c r="AC7" s="9">
        <v>0.99907597803388803</v>
      </c>
      <c r="AD7" s="9">
        <v>166.981559753417</v>
      </c>
      <c r="AE7" s="9">
        <v>16.240455627441399</v>
      </c>
      <c r="AF7" s="9">
        <v>-2454.56299897081</v>
      </c>
      <c r="AG7" s="9">
        <v>-2454.56299897081</v>
      </c>
      <c r="AH7" s="9">
        <v>33.809486175978002</v>
      </c>
      <c r="AI7" s="9">
        <v>-2454.5632491383499</v>
      </c>
      <c r="AJ7" s="10">
        <v>2.3439078300694999E-5</v>
      </c>
      <c r="AK7" s="9">
        <v>389</v>
      </c>
      <c r="AL7" s="9">
        <v>380</v>
      </c>
      <c r="AM7" s="9">
        <v>397</v>
      </c>
      <c r="AN7" s="9">
        <v>3.1879270889006102</v>
      </c>
      <c r="AO7" s="9">
        <v>2.9403824830268199</v>
      </c>
      <c r="AP7" s="9">
        <f t="shared" si="0"/>
        <v>0.46840382682839665</v>
      </c>
      <c r="AQ7" s="9">
        <v>8.6888794752254403E-2</v>
      </c>
      <c r="AR7" s="9">
        <v>16.240455627441399</v>
      </c>
      <c r="AS7" s="9">
        <v>3.0421202056373402</v>
      </c>
      <c r="AT7" s="9">
        <v>3.3203983621211601</v>
      </c>
      <c r="AU7" s="9">
        <v>2.7409796595029801</v>
      </c>
      <c r="AV7" s="9">
        <f t="shared" si="1"/>
        <v>0.43790581270170487</v>
      </c>
      <c r="AW7" s="9">
        <v>3.12555066468104</v>
      </c>
      <c r="AX7" s="9">
        <f t="shared" si="2"/>
        <v>0.49492654314061901</v>
      </c>
      <c r="AY7" s="9">
        <v>8.0996407926324093E-2</v>
      </c>
      <c r="AZ7" s="9">
        <v>9.2360545527289506E-2</v>
      </c>
      <c r="BA7" s="9">
        <v>16.240455627441399</v>
      </c>
      <c r="BB7" s="9">
        <v>16.240455627441399</v>
      </c>
      <c r="BC7" s="9" t="s">
        <v>115</v>
      </c>
      <c r="BD7" s="9" t="s">
        <v>115</v>
      </c>
    </row>
    <row r="8" spans="1:59" ht="31.5" x14ac:dyDescent="0.25">
      <c r="A8" s="6" t="s">
        <v>102</v>
      </c>
      <c r="B8" s="25">
        <v>2</v>
      </c>
      <c r="C8" s="7" t="s">
        <v>221</v>
      </c>
      <c r="D8" s="8" t="s">
        <v>116</v>
      </c>
      <c r="E8" s="9">
        <v>4</v>
      </c>
      <c r="F8" s="9">
        <v>1</v>
      </c>
      <c r="G8" s="9">
        <v>34</v>
      </c>
      <c r="H8" s="9">
        <v>50</v>
      </c>
      <c r="I8" s="9">
        <v>16.105042012195501</v>
      </c>
      <c r="J8" s="9">
        <v>175368</v>
      </c>
      <c r="K8" s="9">
        <v>35996</v>
      </c>
      <c r="L8" s="9">
        <v>145105.6471</v>
      </c>
      <c r="M8" s="9">
        <v>41539.374060000002</v>
      </c>
      <c r="N8" s="9">
        <v>389.72788889999998</v>
      </c>
      <c r="O8" s="9">
        <v>2.5295303599999999</v>
      </c>
      <c r="P8" s="9">
        <v>1.02E-8</v>
      </c>
      <c r="Q8" s="9">
        <v>1.2339059999999999E-3</v>
      </c>
      <c r="R8" s="9">
        <v>2.1524920999999999E-2</v>
      </c>
      <c r="S8" s="9">
        <v>34</v>
      </c>
      <c r="T8" s="9">
        <v>1</v>
      </c>
      <c r="U8" s="9">
        <v>15.620096950000001</v>
      </c>
      <c r="V8" s="9">
        <v>6.6930109330000001</v>
      </c>
      <c r="W8" s="9">
        <v>315850</v>
      </c>
      <c r="X8" s="9">
        <v>15.43951178</v>
      </c>
      <c r="Y8" s="9">
        <v>485</v>
      </c>
      <c r="Z8" s="9">
        <v>4.9419982620000003</v>
      </c>
      <c r="AA8" s="9">
        <v>878</v>
      </c>
      <c r="AB8" s="9">
        <v>46</v>
      </c>
      <c r="AC8" s="9">
        <v>2.84093658293</v>
      </c>
      <c r="AD8" s="9">
        <v>179.81354904174799</v>
      </c>
      <c r="AE8" s="9">
        <v>29.2752990722656</v>
      </c>
      <c r="AF8" s="9">
        <v>-2454.61930310768</v>
      </c>
      <c r="AG8" s="9">
        <v>-2454.61930310768</v>
      </c>
      <c r="AH8" s="9">
        <v>96.726437165104699</v>
      </c>
      <c r="AI8" s="9">
        <v>-2454.62249026565</v>
      </c>
      <c r="AJ8" s="9">
        <v>1.7653835162744099E-4</v>
      </c>
      <c r="AK8" s="9">
        <v>2165</v>
      </c>
      <c r="AL8" s="9">
        <v>2060</v>
      </c>
      <c r="AM8" s="9">
        <v>2277</v>
      </c>
      <c r="AN8" s="9">
        <v>178.003323060279</v>
      </c>
      <c r="AO8" s="9">
        <v>1450.22485983463</v>
      </c>
      <c r="AP8" s="9">
        <f t="shared" si="0"/>
        <v>3.1614353455550943</v>
      </c>
      <c r="AQ8" s="9">
        <v>42.594320420861003</v>
      </c>
      <c r="AR8" s="9">
        <v>178.003323060279</v>
      </c>
      <c r="AS8" s="9">
        <v>161.15610019544599</v>
      </c>
      <c r="AT8" s="9">
        <v>196.89666938689601</v>
      </c>
      <c r="AU8" s="9">
        <v>1249.29011775497</v>
      </c>
      <c r="AV8" s="9">
        <f t="shared" si="1"/>
        <v>3.0966633045944008</v>
      </c>
      <c r="AW8" s="9">
        <v>1687.1384973773199</v>
      </c>
      <c r="AX8" s="9">
        <f t="shared" si="2"/>
        <v>3.2271507353323714</v>
      </c>
      <c r="AY8" s="9">
        <v>36.6926985242401</v>
      </c>
      <c r="AZ8" s="9">
        <v>49.5526726523319</v>
      </c>
      <c r="BA8" s="9">
        <v>161.15610019544599</v>
      </c>
      <c r="BB8" s="9">
        <v>196.89666938689601</v>
      </c>
      <c r="BC8" s="9" t="s">
        <v>117</v>
      </c>
      <c r="BD8" s="9" t="s">
        <v>117</v>
      </c>
    </row>
    <row r="9" spans="1:59" ht="31.5" x14ac:dyDescent="0.25">
      <c r="A9" s="6" t="s">
        <v>102</v>
      </c>
      <c r="B9" s="25" t="s">
        <v>103</v>
      </c>
      <c r="C9" s="7" t="s">
        <v>222</v>
      </c>
      <c r="D9" s="8" t="s">
        <v>197</v>
      </c>
      <c r="E9" s="9">
        <v>4</v>
      </c>
      <c r="F9" s="9">
        <v>1</v>
      </c>
      <c r="G9" s="9">
        <v>34</v>
      </c>
      <c r="H9" s="9">
        <v>50</v>
      </c>
      <c r="I9" s="9">
        <v>16.105042012195501</v>
      </c>
      <c r="J9" s="9">
        <v>175374</v>
      </c>
      <c r="K9" s="9">
        <v>36002</v>
      </c>
      <c r="L9" s="9">
        <v>145112.1176</v>
      </c>
      <c r="M9" s="9">
        <v>41540.085030000002</v>
      </c>
      <c r="N9" s="9">
        <v>389.3479878</v>
      </c>
      <c r="O9" s="9">
        <v>2.4520308919999998</v>
      </c>
      <c r="P9" s="9">
        <v>1.1700000000000001E-8</v>
      </c>
      <c r="Q9" s="9">
        <v>1.232695E-3</v>
      </c>
      <c r="R9" s="9">
        <v>2.1574367000000001E-2</v>
      </c>
      <c r="S9" s="9">
        <v>34</v>
      </c>
      <c r="T9" s="9">
        <v>1</v>
      </c>
      <c r="U9" s="9">
        <v>15.62069457</v>
      </c>
      <c r="V9" s="9">
        <v>6.6932515690000001</v>
      </c>
      <c r="W9" s="9">
        <v>315852</v>
      </c>
      <c r="X9" s="9">
        <v>15.43951178</v>
      </c>
      <c r="Y9" s="9">
        <v>480</v>
      </c>
      <c r="Z9" s="9">
        <v>5.0275377389999996</v>
      </c>
      <c r="AA9" s="9">
        <v>1600</v>
      </c>
      <c r="AB9" s="9">
        <v>50</v>
      </c>
      <c r="AC9" s="9">
        <v>10.4903118048527</v>
      </c>
      <c r="AD9" s="9">
        <v>236.31438446044899</v>
      </c>
      <c r="AE9" s="9">
        <v>82.728725433349595</v>
      </c>
      <c r="AF9" s="9">
        <v>-2454.4973206486202</v>
      </c>
      <c r="AG9" s="9">
        <v>-2454.4973206486202</v>
      </c>
      <c r="AH9" s="9">
        <v>357.539369028821</v>
      </c>
      <c r="AI9" s="9">
        <v>-2454.5002489712801</v>
      </c>
      <c r="AJ9" s="9">
        <v>3.72582965005114E-4</v>
      </c>
      <c r="AK9" s="9">
        <v>3510</v>
      </c>
      <c r="AL9" s="9">
        <v>3116</v>
      </c>
      <c r="AM9" s="9">
        <v>3964</v>
      </c>
      <c r="AN9" s="9">
        <v>398.135222738832</v>
      </c>
      <c r="AO9" s="9">
        <v>3774.72459450821</v>
      </c>
      <c r="AP9" s="9">
        <f t="shared" si="0"/>
        <v>3.5768852708132717</v>
      </c>
      <c r="AQ9" s="9">
        <v>110.751546274182</v>
      </c>
      <c r="AR9" s="9">
        <v>398.135222738832</v>
      </c>
      <c r="AS9" s="9">
        <v>313.76989044187002</v>
      </c>
      <c r="AT9" s="9">
        <v>507.789433764433</v>
      </c>
      <c r="AU9" s="9">
        <v>2640.9262199937102</v>
      </c>
      <c r="AV9" s="9">
        <f t="shared" si="1"/>
        <v>3.4217562684173797</v>
      </c>
      <c r="AW9" s="9">
        <v>5437.0691794612003</v>
      </c>
      <c r="AX9" s="9">
        <f t="shared" si="2"/>
        <v>3.7353648588555131</v>
      </c>
      <c r="AY9" s="9">
        <v>77.485563552337297</v>
      </c>
      <c r="AZ9" s="9">
        <v>159.52523256957801</v>
      </c>
      <c r="BA9" s="9">
        <v>313.76989044187002</v>
      </c>
      <c r="BB9" s="9">
        <v>507.789433764433</v>
      </c>
      <c r="BC9" s="9" t="s">
        <v>199</v>
      </c>
      <c r="BD9" s="9" t="s">
        <v>198</v>
      </c>
    </row>
    <row r="10" spans="1:59" ht="31.5" x14ac:dyDescent="0.25">
      <c r="A10" s="6" t="s">
        <v>102</v>
      </c>
      <c r="B10" s="25" t="s">
        <v>103</v>
      </c>
      <c r="C10" s="7" t="s">
        <v>223</v>
      </c>
      <c r="D10" s="8" t="s">
        <v>200</v>
      </c>
      <c r="E10" s="9">
        <v>4</v>
      </c>
      <c r="F10" s="9">
        <v>1</v>
      </c>
      <c r="G10" s="9">
        <v>36</v>
      </c>
      <c r="H10" s="9">
        <v>50</v>
      </c>
      <c r="I10" s="9">
        <v>18.253154415924399</v>
      </c>
      <c r="J10" s="9">
        <v>219928</v>
      </c>
      <c r="K10" s="9">
        <v>42934</v>
      </c>
      <c r="L10" s="9">
        <v>181677.88889999999</v>
      </c>
      <c r="M10" s="9">
        <v>52435.104059999998</v>
      </c>
      <c r="N10" s="9">
        <v>431.05589029999999</v>
      </c>
      <c r="O10" s="9">
        <v>2.247107111</v>
      </c>
      <c r="P10" s="9">
        <v>1.02E-8</v>
      </c>
      <c r="Q10" s="9">
        <v>1.0826519999999999E-3</v>
      </c>
      <c r="R10" s="9">
        <v>1.7594912000000001E-2</v>
      </c>
      <c r="S10" s="9">
        <v>36</v>
      </c>
      <c r="T10" s="9">
        <v>1</v>
      </c>
      <c r="U10" s="9">
        <v>16.427067319999999</v>
      </c>
      <c r="V10" s="9">
        <v>7.0928440000000004</v>
      </c>
      <c r="W10" s="9">
        <v>398149</v>
      </c>
      <c r="X10" s="9">
        <v>17.557467500000001</v>
      </c>
      <c r="Y10" s="9">
        <v>522</v>
      </c>
      <c r="Z10" s="9">
        <v>5.3748578589999996</v>
      </c>
      <c r="AA10" s="9">
        <v>1600</v>
      </c>
      <c r="AB10" s="9">
        <v>50</v>
      </c>
      <c r="AC10" s="9">
        <v>14.208318209308599</v>
      </c>
      <c r="AD10" s="9">
        <v>241.28913116455001</v>
      </c>
      <c r="AE10" s="9">
        <v>88.011085510253906</v>
      </c>
      <c r="AF10" s="9">
        <v>-2454.5499640876101</v>
      </c>
      <c r="AG10" s="9">
        <v>-2454.5499640876101</v>
      </c>
      <c r="AH10" s="9">
        <v>476.20316108999202</v>
      </c>
      <c r="AI10" s="9">
        <v>-2454.55870838485</v>
      </c>
      <c r="AJ10" s="9">
        <v>2.9399776668659198E-4</v>
      </c>
      <c r="AK10" s="9">
        <v>12580</v>
      </c>
      <c r="AL10" s="9">
        <v>12251</v>
      </c>
      <c r="AM10" s="9">
        <v>12920</v>
      </c>
      <c r="AN10" s="9">
        <v>5440.7490441191103</v>
      </c>
      <c r="AO10" s="9">
        <v>231459.09426744201</v>
      </c>
      <c r="AP10" s="9">
        <f t="shared" si="0"/>
        <v>5.3644742493338837</v>
      </c>
      <c r="AQ10" s="9">
        <v>6905.9694107505102</v>
      </c>
      <c r="AR10" s="9">
        <v>5440.7490441191103</v>
      </c>
      <c r="AS10" s="9">
        <v>5159.8905777298996</v>
      </c>
      <c r="AT10" s="9">
        <v>5738.8178376245396</v>
      </c>
      <c r="AU10" s="9">
        <v>213770.092714745</v>
      </c>
      <c r="AV10" s="9">
        <f t="shared" si="1"/>
        <v>5.3299469455991915</v>
      </c>
      <c r="AW10" s="9">
        <v>250737.83232272699</v>
      </c>
      <c r="AX10" s="9">
        <f t="shared" si="2"/>
        <v>5.3992198669833291</v>
      </c>
      <c r="AY10" s="9">
        <v>6378.18844791438</v>
      </c>
      <c r="AZ10" s="9">
        <v>7481.1828224725496</v>
      </c>
      <c r="BA10" s="9">
        <v>5159.8905777298996</v>
      </c>
      <c r="BB10" s="9">
        <v>5738.8178376245396</v>
      </c>
      <c r="BC10" s="9" t="s">
        <v>202</v>
      </c>
      <c r="BD10" s="9" t="s">
        <v>201</v>
      </c>
    </row>
    <row r="11" spans="1:59" ht="31.5" x14ac:dyDescent="0.25">
      <c r="A11" s="6" t="s">
        <v>102</v>
      </c>
      <c r="B11" s="25" t="s">
        <v>108</v>
      </c>
      <c r="C11" s="7" t="s">
        <v>224</v>
      </c>
      <c r="D11" s="8" t="s">
        <v>203</v>
      </c>
      <c r="E11" s="9">
        <v>4</v>
      </c>
      <c r="F11" s="9">
        <v>1</v>
      </c>
      <c r="G11" s="9">
        <v>34</v>
      </c>
      <c r="H11" s="9">
        <v>50</v>
      </c>
      <c r="I11" s="9">
        <v>16.105042012195501</v>
      </c>
      <c r="J11" s="9">
        <v>175322</v>
      </c>
      <c r="K11" s="9">
        <v>35994</v>
      </c>
      <c r="L11" s="9">
        <v>145076.4118</v>
      </c>
      <c r="M11" s="9">
        <v>41523.772689999998</v>
      </c>
      <c r="N11" s="9">
        <v>342.99366350000003</v>
      </c>
      <c r="O11" s="9">
        <v>2.3426205439999999</v>
      </c>
      <c r="P11" s="9">
        <v>1E-8</v>
      </c>
      <c r="Q11" s="9">
        <v>1.086203E-3</v>
      </c>
      <c r="R11" s="9">
        <v>2.0421324000000001E-2</v>
      </c>
      <c r="S11" s="9">
        <v>34</v>
      </c>
      <c r="T11" s="9">
        <v>1</v>
      </c>
      <c r="U11" s="9">
        <v>15.62070855</v>
      </c>
      <c r="V11" s="9">
        <v>6.693541819</v>
      </c>
      <c r="W11" s="9">
        <v>315774</v>
      </c>
      <c r="X11" s="9">
        <v>15.43951178</v>
      </c>
      <c r="Y11" s="9">
        <v>476</v>
      </c>
      <c r="Z11" s="9">
        <v>4.892596202</v>
      </c>
      <c r="AA11" s="9">
        <v>1600</v>
      </c>
      <c r="AB11" s="9">
        <v>50</v>
      </c>
      <c r="AC11" s="9">
        <v>12.249054001696599</v>
      </c>
      <c r="AD11" s="9">
        <v>234.12110900878901</v>
      </c>
      <c r="AE11" s="9">
        <v>78.264045715332003</v>
      </c>
      <c r="AF11" s="9">
        <v>-2454.5376455095802</v>
      </c>
      <c r="AG11" s="9">
        <v>-2454.5376455095802</v>
      </c>
      <c r="AH11" s="9">
        <v>409.19414950674701</v>
      </c>
      <c r="AI11" s="9">
        <v>-2454.54858762304</v>
      </c>
      <c r="AJ11" s="9">
        <v>5.0763827949126003E-4</v>
      </c>
      <c r="AK11" s="9">
        <v>18033</v>
      </c>
      <c r="AL11" s="9">
        <v>15895</v>
      </c>
      <c r="AM11" s="9">
        <v>20517</v>
      </c>
      <c r="AN11" s="9">
        <v>9941.6459873528001</v>
      </c>
      <c r="AO11" s="9">
        <v>585832.43877912499</v>
      </c>
      <c r="AP11" s="9">
        <f t="shared" si="0"/>
        <v>5.7677734158138723</v>
      </c>
      <c r="AQ11" s="9">
        <v>17536.646570341101</v>
      </c>
      <c r="AR11" s="9">
        <v>9941.6459873528001</v>
      </c>
      <c r="AS11" s="9">
        <v>7724.0200666505798</v>
      </c>
      <c r="AT11" s="9">
        <v>12869.155417984701</v>
      </c>
      <c r="AU11" s="9">
        <v>401190.89160496899</v>
      </c>
      <c r="AV11" s="9">
        <f t="shared" si="1"/>
        <v>5.6033510645014095</v>
      </c>
      <c r="AW11" s="9">
        <v>862801.80126946897</v>
      </c>
      <c r="AX11" s="9">
        <f t="shared" si="2"/>
        <v>5.9359110431071116</v>
      </c>
      <c r="AY11" s="9">
        <v>12009.479857377701</v>
      </c>
      <c r="AZ11" s="9">
        <v>25827.607430972301</v>
      </c>
      <c r="BA11" s="9">
        <v>7724.0200666505798</v>
      </c>
      <c r="BB11" s="9">
        <v>12869.155417984701</v>
      </c>
      <c r="BC11" s="9" t="s">
        <v>205</v>
      </c>
      <c r="BD11" s="9" t="s">
        <v>204</v>
      </c>
    </row>
    <row r="12" spans="1:59" ht="31.5" x14ac:dyDescent="0.25">
      <c r="A12" s="6" t="s">
        <v>102</v>
      </c>
      <c r="B12" s="25" t="s">
        <v>108</v>
      </c>
      <c r="C12" s="7" t="s">
        <v>225</v>
      </c>
      <c r="D12" s="8" t="s">
        <v>206</v>
      </c>
      <c r="E12" s="9">
        <v>4</v>
      </c>
      <c r="F12" s="9">
        <v>1</v>
      </c>
      <c r="G12" s="9">
        <v>36</v>
      </c>
      <c r="H12" s="9">
        <v>50</v>
      </c>
      <c r="I12" s="9">
        <v>18.253154415924399</v>
      </c>
      <c r="J12" s="9">
        <v>219896</v>
      </c>
      <c r="K12" s="9">
        <v>42886</v>
      </c>
      <c r="L12" s="9">
        <v>181643.1667</v>
      </c>
      <c r="M12" s="9">
        <v>52433.769820000001</v>
      </c>
      <c r="N12" s="9">
        <v>386.69568809999998</v>
      </c>
      <c r="O12" s="9">
        <v>2.1537868750000002</v>
      </c>
      <c r="P12" s="9">
        <v>1.0099999999999999E-8</v>
      </c>
      <c r="Q12" s="9">
        <v>9.7136800000000001E-4</v>
      </c>
      <c r="R12" s="9">
        <v>1.6955371E-2</v>
      </c>
      <c r="S12" s="9">
        <v>36</v>
      </c>
      <c r="T12" s="9">
        <v>1</v>
      </c>
      <c r="U12" s="9">
        <v>16.42615563</v>
      </c>
      <c r="V12" s="9">
        <v>7.0928047190000001</v>
      </c>
      <c r="W12" s="9">
        <v>398095</v>
      </c>
      <c r="X12" s="9">
        <v>17.557467500000001</v>
      </c>
      <c r="Y12" s="9">
        <v>510</v>
      </c>
      <c r="Z12" s="9">
        <v>5.0606655409999997</v>
      </c>
      <c r="AA12" s="9">
        <v>1600</v>
      </c>
      <c r="AB12" s="9">
        <v>50</v>
      </c>
      <c r="AC12" s="9">
        <v>15.2270272395908</v>
      </c>
      <c r="AD12" s="9">
        <v>243.223194122314</v>
      </c>
      <c r="AE12" s="9">
        <v>90.046691894531193</v>
      </c>
      <c r="AF12" s="9">
        <v>-2454.5745869063699</v>
      </c>
      <c r="AG12" s="9">
        <v>-2454.5745869063699</v>
      </c>
      <c r="AH12" s="9">
        <v>504.376183653878</v>
      </c>
      <c r="AI12" s="9">
        <v>-2454.58697483074</v>
      </c>
      <c r="AJ12" s="9">
        <v>4.7681074303475898E-4</v>
      </c>
      <c r="AK12" s="9">
        <v>22714</v>
      </c>
      <c r="AL12" s="9">
        <v>20419</v>
      </c>
      <c r="AM12" s="9">
        <v>25316</v>
      </c>
      <c r="AN12" s="9">
        <v>18147.426247208099</v>
      </c>
      <c r="AO12" s="9">
        <v>1443030.42411439</v>
      </c>
      <c r="AP12" s="9">
        <f t="shared" si="0"/>
        <v>6.1592754876324456</v>
      </c>
      <c r="AQ12" s="9">
        <v>43564.831741989903</v>
      </c>
      <c r="AR12" s="9">
        <v>18147.426247208099</v>
      </c>
      <c r="AS12" s="9">
        <v>14665.4953129845</v>
      </c>
      <c r="AT12" s="9">
        <v>22543.324948625501</v>
      </c>
      <c r="AU12" s="9">
        <v>1048330.03992791</v>
      </c>
      <c r="AV12" s="9">
        <f t="shared" si="1"/>
        <v>6.0204980306959186</v>
      </c>
      <c r="AW12" s="9">
        <v>1997928.23434024</v>
      </c>
      <c r="AX12" s="9">
        <f t="shared" si="2"/>
        <v>6.3005798842954768</v>
      </c>
      <c r="AY12" s="9">
        <v>31648.897373429601</v>
      </c>
      <c r="AZ12" s="9">
        <v>60317.097898348897</v>
      </c>
      <c r="BA12" s="9">
        <v>14665.4953129845</v>
      </c>
      <c r="BB12" s="9">
        <v>22543.324948625501</v>
      </c>
      <c r="BC12" s="9" t="s">
        <v>208</v>
      </c>
      <c r="BD12" s="9" t="s">
        <v>207</v>
      </c>
    </row>
    <row r="13" spans="1:59" ht="31.5" x14ac:dyDescent="0.25">
      <c r="A13" s="6" t="s">
        <v>102</v>
      </c>
      <c r="B13" s="25">
        <v>2</v>
      </c>
      <c r="C13" s="7" t="s">
        <v>226</v>
      </c>
      <c r="D13" s="8" t="s">
        <v>209</v>
      </c>
      <c r="E13" s="9">
        <v>4</v>
      </c>
      <c r="F13" s="9">
        <v>1</v>
      </c>
      <c r="G13" s="9">
        <v>36</v>
      </c>
      <c r="H13" s="9">
        <v>50</v>
      </c>
      <c r="I13" s="9">
        <v>18.253154415924399</v>
      </c>
      <c r="J13" s="9">
        <v>219932</v>
      </c>
      <c r="K13" s="9">
        <v>42940</v>
      </c>
      <c r="L13" s="9">
        <v>181687.3333</v>
      </c>
      <c r="M13" s="9">
        <v>52435.353810000001</v>
      </c>
      <c r="N13" s="9">
        <v>465.39022770000003</v>
      </c>
      <c r="O13" s="9">
        <v>2.265621484</v>
      </c>
      <c r="P13" s="9">
        <v>1.05E-8</v>
      </c>
      <c r="Q13" s="9">
        <v>1.1688289999999999E-3</v>
      </c>
      <c r="R13" s="9">
        <v>1.7535439999999999E-2</v>
      </c>
      <c r="S13" s="9">
        <v>36</v>
      </c>
      <c r="T13" s="9">
        <v>1</v>
      </c>
      <c r="U13" s="9">
        <v>16.4270961</v>
      </c>
      <c r="V13" s="9">
        <v>7.093157079</v>
      </c>
      <c r="W13" s="9">
        <v>398169</v>
      </c>
      <c r="X13" s="9">
        <v>17.557467500000001</v>
      </c>
      <c r="Y13" s="9">
        <v>528</v>
      </c>
      <c r="Z13" s="9">
        <v>5.228179506</v>
      </c>
      <c r="AA13" s="9">
        <v>1600</v>
      </c>
      <c r="AB13" s="9">
        <v>50</v>
      </c>
      <c r="AC13" s="9">
        <v>12.5838984833533</v>
      </c>
      <c r="AD13" s="9">
        <v>238.90318679809499</v>
      </c>
      <c r="AE13" s="9">
        <v>85.536624908447195</v>
      </c>
      <c r="AF13" s="9">
        <v>-2454.6746773622399</v>
      </c>
      <c r="AG13" s="9">
        <v>-2454.6746773622399</v>
      </c>
      <c r="AH13" s="9">
        <v>419.37639511948498</v>
      </c>
      <c r="AI13" s="9">
        <v>-2454.6792016890399</v>
      </c>
      <c r="AJ13" s="9">
        <v>1.55546010126777E-4</v>
      </c>
      <c r="AK13" s="9">
        <v>5742</v>
      </c>
      <c r="AL13" s="9">
        <v>4913</v>
      </c>
      <c r="AM13" s="9">
        <v>6739</v>
      </c>
      <c r="AN13" s="9">
        <v>1101.63701792498</v>
      </c>
      <c r="AO13" s="9">
        <v>19383.562493459602</v>
      </c>
      <c r="AP13" s="9">
        <f t="shared" si="0"/>
        <v>4.287433598775932</v>
      </c>
      <c r="AQ13" s="9">
        <v>581.62735314164502</v>
      </c>
      <c r="AR13" s="9">
        <v>1101.63701792498</v>
      </c>
      <c r="AS13" s="9">
        <v>806.50241631045503</v>
      </c>
      <c r="AT13" s="9">
        <v>1517.4104037202401</v>
      </c>
      <c r="AU13" s="9">
        <v>12141.834997604101</v>
      </c>
      <c r="AV13" s="9">
        <f t="shared" si="1"/>
        <v>4.0842843266989339</v>
      </c>
      <c r="AW13" s="9">
        <v>31335.050821654801</v>
      </c>
      <c r="AX13" s="9">
        <f t="shared" si="2"/>
        <v>4.496030403409577</v>
      </c>
      <c r="AY13" s="9">
        <v>364.33051738151602</v>
      </c>
      <c r="AZ13" s="9">
        <v>940.24628734308305</v>
      </c>
      <c r="BA13" s="9">
        <v>806.50241631045503</v>
      </c>
      <c r="BB13" s="9">
        <v>1517.4104037202401</v>
      </c>
      <c r="BC13" s="9" t="s">
        <v>211</v>
      </c>
      <c r="BD13" s="9" t="s">
        <v>210</v>
      </c>
    </row>
    <row r="14" spans="1:59" ht="31.5" x14ac:dyDescent="0.25">
      <c r="A14" s="6" t="s">
        <v>91</v>
      </c>
      <c r="B14" s="25" t="s">
        <v>92</v>
      </c>
      <c r="C14" s="7" t="s">
        <v>227</v>
      </c>
      <c r="D14" s="8" t="s">
        <v>90</v>
      </c>
      <c r="E14" s="9">
        <v>0</v>
      </c>
      <c r="F14" s="9">
        <v>1</v>
      </c>
      <c r="G14" s="9">
        <v>45</v>
      </c>
      <c r="H14" s="9">
        <v>68</v>
      </c>
      <c r="I14" s="9">
        <v>20.7267112926484</v>
      </c>
      <c r="J14" s="9">
        <v>530059</v>
      </c>
      <c r="K14" s="9">
        <v>84539</v>
      </c>
      <c r="L14" s="9">
        <v>435064.95559999999</v>
      </c>
      <c r="M14" s="9">
        <v>129236.20419999999</v>
      </c>
      <c r="N14" s="9">
        <v>691.33481519999998</v>
      </c>
      <c r="O14" s="9">
        <v>11.704278329999999</v>
      </c>
      <c r="P14" s="9">
        <v>1E-8</v>
      </c>
      <c r="Q14" s="9">
        <v>7.0773699999999995E-4</v>
      </c>
      <c r="R14" s="9">
        <v>2.8338669E-2</v>
      </c>
      <c r="S14" s="9">
        <v>45</v>
      </c>
      <c r="T14" s="9">
        <v>1</v>
      </c>
      <c r="U14" s="9">
        <v>20.04240575</v>
      </c>
      <c r="V14" s="9">
        <v>8.8910696849999997</v>
      </c>
      <c r="W14" s="9">
        <v>976826</v>
      </c>
      <c r="X14" s="9">
        <v>20.012983080000001</v>
      </c>
      <c r="Y14" s="9">
        <v>702</v>
      </c>
      <c r="Z14" s="9">
        <v>4.4437043889999996</v>
      </c>
      <c r="AA14" s="9">
        <v>659</v>
      </c>
      <c r="AB14" s="9">
        <v>55</v>
      </c>
      <c r="AC14" s="9">
        <v>2.9528593852133298</v>
      </c>
      <c r="AD14" s="9">
        <v>177.642154693603</v>
      </c>
      <c r="AE14" s="9">
        <v>27.362918853759702</v>
      </c>
      <c r="AF14" s="9">
        <v>-2592.6859582184902</v>
      </c>
      <c r="AG14" s="9">
        <v>-2592.6859582184902</v>
      </c>
      <c r="AH14" s="9">
        <v>95.046459841181601</v>
      </c>
      <c r="AI14" s="9">
        <v>-2592.6874145145798</v>
      </c>
      <c r="AJ14" s="9">
        <v>1.3510693743134101E-4</v>
      </c>
      <c r="AK14" s="9">
        <v>910</v>
      </c>
      <c r="AL14" s="9">
        <v>831</v>
      </c>
      <c r="AM14" s="9">
        <v>998</v>
      </c>
      <c r="AN14" s="9">
        <v>52.176432086134199</v>
      </c>
      <c r="AO14" s="9">
        <v>250.26716769973899</v>
      </c>
      <c r="AP14" s="9">
        <f t="shared" si="0"/>
        <v>2.3984038786849502</v>
      </c>
      <c r="AQ14" s="9">
        <v>7.7751844328318596</v>
      </c>
      <c r="AR14" s="9">
        <v>52.176432086134199</v>
      </c>
      <c r="AS14" s="9">
        <v>43.510456608903397</v>
      </c>
      <c r="AT14" s="9">
        <v>62.755627416396599</v>
      </c>
      <c r="AU14" s="9">
        <v>190.582391823107</v>
      </c>
      <c r="AV14" s="9">
        <f t="shared" si="1"/>
        <v>2.2800827730740028</v>
      </c>
      <c r="AW14" s="9">
        <v>330.119611685449</v>
      </c>
      <c r="AX14" s="9">
        <f t="shared" si="2"/>
        <v>2.5186713255837825</v>
      </c>
      <c r="AY14" s="9">
        <v>5.9209254641531901</v>
      </c>
      <c r="AZ14" s="9">
        <v>10.256003171892999</v>
      </c>
      <c r="BA14" s="9">
        <v>43.510456608903397</v>
      </c>
      <c r="BB14" s="9">
        <v>62.755627416396599</v>
      </c>
      <c r="BC14" s="9" t="s">
        <v>93</v>
      </c>
      <c r="BD14" s="9" t="s">
        <v>93</v>
      </c>
    </row>
    <row r="15" spans="1:59" ht="31.5" x14ac:dyDescent="0.25">
      <c r="A15" s="6" t="s">
        <v>91</v>
      </c>
      <c r="B15" s="25" t="s">
        <v>92</v>
      </c>
      <c r="C15" s="7" t="s">
        <v>228</v>
      </c>
      <c r="D15" s="8" t="s">
        <v>94</v>
      </c>
      <c r="E15" s="9">
        <v>0</v>
      </c>
      <c r="F15" s="9">
        <v>1</v>
      </c>
      <c r="G15" s="9">
        <v>53</v>
      </c>
      <c r="H15" s="9">
        <v>74</v>
      </c>
      <c r="I15" s="9">
        <v>27.1195687208373</v>
      </c>
      <c r="J15" s="9">
        <v>1011297</v>
      </c>
      <c r="K15" s="9">
        <v>138519</v>
      </c>
      <c r="L15" s="9">
        <v>826171.83019999997</v>
      </c>
      <c r="M15" s="9">
        <v>250275.9425</v>
      </c>
      <c r="N15" s="9">
        <v>905.62906350000003</v>
      </c>
      <c r="O15" s="9">
        <v>11.555670299999999</v>
      </c>
      <c r="P15" s="9">
        <v>1E-8</v>
      </c>
      <c r="Q15" s="9">
        <v>4.8041499999999999E-4</v>
      </c>
      <c r="R15" s="9">
        <v>1.9828657E-2</v>
      </c>
      <c r="S15" s="9">
        <v>53</v>
      </c>
      <c r="T15" s="9">
        <v>1</v>
      </c>
      <c r="U15" s="9">
        <v>23.228014550000001</v>
      </c>
      <c r="V15" s="9">
        <v>10.483258360000001</v>
      </c>
      <c r="W15" s="9">
        <v>1885100</v>
      </c>
      <c r="X15" s="9">
        <v>26.343135589999999</v>
      </c>
      <c r="Y15" s="9">
        <v>863</v>
      </c>
      <c r="Z15" s="9">
        <v>5.356839581</v>
      </c>
      <c r="AA15" s="9">
        <v>449</v>
      </c>
      <c r="AB15" s="9">
        <v>53</v>
      </c>
      <c r="AC15" s="9">
        <v>2.240246992995</v>
      </c>
      <c r="AD15" s="9">
        <v>170.41878128051701</v>
      </c>
      <c r="AE15" s="9">
        <v>19.7983894348144</v>
      </c>
      <c r="AF15" s="9">
        <v>-2592.8116585053399</v>
      </c>
      <c r="AG15" s="9">
        <v>-2592.8116585053399</v>
      </c>
      <c r="AH15" s="9">
        <v>69.073982176301101</v>
      </c>
      <c r="AI15" s="9">
        <v>-2592.8165355460801</v>
      </c>
      <c r="AJ15" s="9">
        <v>5.9715373413146103E-4</v>
      </c>
      <c r="AK15" s="9">
        <v>2234</v>
      </c>
      <c r="AL15" s="9">
        <v>2024</v>
      </c>
      <c r="AM15" s="9">
        <v>2471</v>
      </c>
      <c r="AN15" s="9">
        <v>490.12123383384397</v>
      </c>
      <c r="AO15" s="9">
        <v>8507.9509514339697</v>
      </c>
      <c r="AP15" s="9">
        <f t="shared" si="0"/>
        <v>3.9298249775185412</v>
      </c>
      <c r="AQ15" s="9">
        <v>275.93474322721499</v>
      </c>
      <c r="AR15" s="9">
        <v>490.12123383384397</v>
      </c>
      <c r="AS15" s="9">
        <v>402.307562945195</v>
      </c>
      <c r="AT15" s="9">
        <v>599.62905910713198</v>
      </c>
      <c r="AU15" s="9">
        <v>6327.1334662940098</v>
      </c>
      <c r="AV15" s="9">
        <f t="shared" si="1"/>
        <v>3.8012069956830548</v>
      </c>
      <c r="AW15" s="9">
        <v>11513.137923280099</v>
      </c>
      <c r="AX15" s="9">
        <f t="shared" si="2"/>
        <v>4.0611937073860078</v>
      </c>
      <c r="AY15" s="9">
        <v>205.205220193694</v>
      </c>
      <c r="AZ15" s="9">
        <v>373.40069009969602</v>
      </c>
      <c r="BA15" s="9">
        <v>402.307562945195</v>
      </c>
      <c r="BB15" s="9">
        <v>599.62905910713198</v>
      </c>
      <c r="BC15" s="9" t="s">
        <v>95</v>
      </c>
      <c r="BD15" s="9" t="s">
        <v>95</v>
      </c>
    </row>
    <row r="16" spans="1:59" ht="31.5" x14ac:dyDescent="0.25">
      <c r="A16" s="6" t="s">
        <v>91</v>
      </c>
      <c r="B16" s="25" t="s">
        <v>97</v>
      </c>
      <c r="C16" s="7" t="s">
        <v>229</v>
      </c>
      <c r="D16" s="8" t="s">
        <v>96</v>
      </c>
      <c r="E16" s="9">
        <v>0</v>
      </c>
      <c r="F16" s="9">
        <v>1</v>
      </c>
      <c r="G16" s="9">
        <v>44</v>
      </c>
      <c r="H16" s="9">
        <v>66</v>
      </c>
      <c r="I16" s="9">
        <v>20.481662491971299</v>
      </c>
      <c r="J16" s="9">
        <v>485822</v>
      </c>
      <c r="K16" s="9">
        <v>79268</v>
      </c>
      <c r="L16" s="9">
        <v>399044.81819999998</v>
      </c>
      <c r="M16" s="9">
        <v>118233.963</v>
      </c>
      <c r="N16" s="9">
        <v>667.17214760000002</v>
      </c>
      <c r="O16" s="9">
        <v>11.697928429999999</v>
      </c>
      <c r="P16" s="9">
        <v>1E-8</v>
      </c>
      <c r="Q16" s="9">
        <v>7.4626300000000005E-4</v>
      </c>
      <c r="R16" s="9">
        <v>2.9196043000000001E-2</v>
      </c>
      <c r="S16" s="9">
        <v>44</v>
      </c>
      <c r="T16" s="9">
        <v>1</v>
      </c>
      <c r="U16" s="9">
        <v>19.639394289999998</v>
      </c>
      <c r="V16" s="9">
        <v>8.6908495099999996</v>
      </c>
      <c r="W16" s="9">
        <v>894019</v>
      </c>
      <c r="X16" s="9">
        <v>19.76951588</v>
      </c>
      <c r="Y16" s="9">
        <v>686</v>
      </c>
      <c r="Z16" s="9">
        <v>4.8377360610000002</v>
      </c>
      <c r="AA16" s="9">
        <v>599</v>
      </c>
      <c r="AB16" s="9">
        <v>63</v>
      </c>
      <c r="AC16" s="9">
        <v>2.9090578754538798</v>
      </c>
      <c r="AD16" s="9">
        <v>311.55476760864201</v>
      </c>
      <c r="AE16" s="9">
        <v>23.399978637695298</v>
      </c>
      <c r="AF16" s="9">
        <v>-2592.7033386297499</v>
      </c>
      <c r="AG16" s="9">
        <v>-2592.7033386297499</v>
      </c>
      <c r="AH16" s="9">
        <v>94.4531995278914</v>
      </c>
      <c r="AI16" s="9">
        <v>-2592.70748640784</v>
      </c>
      <c r="AJ16" s="9">
        <v>2.9310656087632998E-4</v>
      </c>
      <c r="AK16" s="9">
        <v>2586</v>
      </c>
      <c r="AL16" s="9">
        <v>2486</v>
      </c>
      <c r="AM16" s="9">
        <v>2691</v>
      </c>
      <c r="AN16" s="9">
        <v>436.13290805156299</v>
      </c>
      <c r="AO16" s="9">
        <v>7600.1430797818603</v>
      </c>
      <c r="AP16" s="9">
        <f t="shared" si="0"/>
        <v>3.8808217683564257</v>
      </c>
      <c r="AQ16" s="9">
        <v>234.07630648114801</v>
      </c>
      <c r="AR16" s="9">
        <v>436.13290805156299</v>
      </c>
      <c r="AS16" s="9">
        <v>403.05476957079202</v>
      </c>
      <c r="AT16" s="9">
        <v>472.26875261015499</v>
      </c>
      <c r="AU16" s="9">
        <v>6752.1111005168796</v>
      </c>
      <c r="AV16" s="9">
        <f t="shared" si="1"/>
        <v>3.8294395796401779</v>
      </c>
      <c r="AW16" s="9">
        <v>8564.0126478386592</v>
      </c>
      <c r="AX16" s="9">
        <f t="shared" si="2"/>
        <v>3.9326773000145634</v>
      </c>
      <c r="AY16" s="9">
        <v>207.95782536829799</v>
      </c>
      <c r="AZ16" s="9">
        <v>263.76246186689599</v>
      </c>
      <c r="BA16" s="9">
        <v>403.05476957079202</v>
      </c>
      <c r="BB16" s="9">
        <v>472.26875261015499</v>
      </c>
      <c r="BC16" s="9" t="s">
        <v>98</v>
      </c>
      <c r="BD16" s="9" t="s">
        <v>98</v>
      </c>
    </row>
    <row r="17" spans="1:56" ht="31.5" x14ac:dyDescent="0.25">
      <c r="A17" s="6" t="s">
        <v>91</v>
      </c>
      <c r="B17" s="25">
        <v>5</v>
      </c>
      <c r="C17" s="7" t="s">
        <v>230</v>
      </c>
      <c r="D17" s="8" t="s">
        <v>99</v>
      </c>
      <c r="E17" s="9">
        <v>0</v>
      </c>
      <c r="F17" s="9">
        <v>1</v>
      </c>
      <c r="G17" s="9">
        <v>44</v>
      </c>
      <c r="H17" s="9">
        <v>66</v>
      </c>
      <c r="I17" s="9">
        <v>20.481662491971299</v>
      </c>
      <c r="J17" s="9">
        <v>484396</v>
      </c>
      <c r="K17" s="9">
        <v>79032</v>
      </c>
      <c r="L17" s="9">
        <v>397414.54550000001</v>
      </c>
      <c r="M17" s="9">
        <v>117938.224</v>
      </c>
      <c r="N17" s="9">
        <v>635.35280009999997</v>
      </c>
      <c r="O17" s="9">
        <v>11.71456759</v>
      </c>
      <c r="P17" s="9">
        <v>1E-8</v>
      </c>
      <c r="Q17" s="9">
        <v>7.1359600000000004E-4</v>
      </c>
      <c r="R17" s="9">
        <v>2.9354185000000001E-2</v>
      </c>
      <c r="S17" s="9">
        <v>44</v>
      </c>
      <c r="T17" s="9">
        <v>1</v>
      </c>
      <c r="U17" s="9">
        <v>19.639648950000002</v>
      </c>
      <c r="V17" s="9">
        <v>8.6891163809999998</v>
      </c>
      <c r="W17" s="9">
        <v>890355</v>
      </c>
      <c r="X17" s="9">
        <v>19.76951588</v>
      </c>
      <c r="Y17" s="9">
        <v>688</v>
      </c>
      <c r="Z17" s="9">
        <v>4.8597192949999997</v>
      </c>
      <c r="AA17" s="9">
        <v>725</v>
      </c>
      <c r="AB17" s="9">
        <v>41</v>
      </c>
      <c r="AC17" s="9">
        <v>2.89083155366583</v>
      </c>
      <c r="AD17" s="9">
        <v>310.65837478637599</v>
      </c>
      <c r="AE17" s="9">
        <v>32.444099426269503</v>
      </c>
      <c r="AF17" s="9">
        <v>-2592.78608440691</v>
      </c>
      <c r="AG17" s="9">
        <v>-2592.78608440691</v>
      </c>
      <c r="AH17" s="9">
        <v>98.304348361929399</v>
      </c>
      <c r="AI17" s="9">
        <v>-2592.7883361470499</v>
      </c>
      <c r="AJ17" s="9">
        <v>1.49797962384803E-4</v>
      </c>
      <c r="AK17" s="9">
        <v>1443</v>
      </c>
      <c r="AL17" s="9">
        <v>1367</v>
      </c>
      <c r="AM17" s="9">
        <v>1524</v>
      </c>
      <c r="AN17" s="9">
        <v>128.526408725327</v>
      </c>
      <c r="AO17" s="9">
        <v>775.09993820112004</v>
      </c>
      <c r="AP17" s="9">
        <f t="shared" si="0"/>
        <v>2.8893577022625432</v>
      </c>
      <c r="AQ17" s="9">
        <v>22.793329043255099</v>
      </c>
      <c r="AR17" s="9">
        <v>128.526408725327</v>
      </c>
      <c r="AS17" s="9">
        <v>115.344459857838</v>
      </c>
      <c r="AT17" s="9">
        <v>143.36054538704801</v>
      </c>
      <c r="AU17" s="9">
        <v>658.96788962671701</v>
      </c>
      <c r="AV17" s="9">
        <f t="shared" si="1"/>
        <v>2.8188642526855276</v>
      </c>
      <c r="AW17" s="9">
        <v>913.09004941286003</v>
      </c>
      <c r="AX17" s="9">
        <f t="shared" si="2"/>
        <v>2.9605136099928058</v>
      </c>
      <c r="AY17" s="9">
        <v>19.3782391107659</v>
      </c>
      <c r="AZ17" s="9">
        <v>26.851198041237701</v>
      </c>
      <c r="BA17" s="9">
        <v>115.344459857838</v>
      </c>
      <c r="BB17" s="9">
        <v>143.36054538704801</v>
      </c>
      <c r="BC17" s="9" t="s">
        <v>100</v>
      </c>
      <c r="BD17" s="9" t="s">
        <v>100</v>
      </c>
    </row>
    <row r="18" spans="1:56" ht="31.5" x14ac:dyDescent="0.25">
      <c r="A18" s="6" t="s">
        <v>91</v>
      </c>
      <c r="B18" s="25">
        <v>5</v>
      </c>
      <c r="C18" s="7" t="s">
        <v>231</v>
      </c>
      <c r="D18" s="8" t="s">
        <v>166</v>
      </c>
      <c r="E18" s="9">
        <v>0</v>
      </c>
      <c r="F18" s="9">
        <v>1</v>
      </c>
      <c r="G18" s="9">
        <v>54</v>
      </c>
      <c r="H18" s="9">
        <v>76</v>
      </c>
      <c r="I18" s="9">
        <v>27.426501398336999</v>
      </c>
      <c r="J18" s="9">
        <v>1091994</v>
      </c>
      <c r="K18" s="9">
        <v>147800</v>
      </c>
      <c r="L18" s="9">
        <v>891998.29630000005</v>
      </c>
      <c r="M18" s="9">
        <v>270466.60450000002</v>
      </c>
      <c r="N18" s="9">
        <v>958.26108910000005</v>
      </c>
      <c r="O18" s="9">
        <v>11.685592209999999</v>
      </c>
      <c r="P18" s="9">
        <v>1E-8</v>
      </c>
      <c r="Q18" s="9">
        <v>4.7031500000000001E-4</v>
      </c>
      <c r="R18" s="9">
        <v>1.9641928999999999E-2</v>
      </c>
      <c r="S18" s="9">
        <v>54</v>
      </c>
      <c r="T18" s="9">
        <v>1</v>
      </c>
      <c r="U18" s="9">
        <v>23.640818670000002</v>
      </c>
      <c r="V18" s="9">
        <v>10.68602443</v>
      </c>
      <c r="W18" s="9">
        <v>2037490</v>
      </c>
      <c r="X18" s="9">
        <v>26.64835592</v>
      </c>
      <c r="Y18" s="9">
        <v>928</v>
      </c>
      <c r="Z18" s="9">
        <v>5.9190918269999999</v>
      </c>
      <c r="AA18" s="9">
        <v>800</v>
      </c>
      <c r="AB18" s="9">
        <v>40</v>
      </c>
      <c r="AC18" s="9">
        <v>5.1621722257308296</v>
      </c>
      <c r="AD18" s="9">
        <v>202.79861450195301</v>
      </c>
      <c r="AE18" s="9">
        <v>48.1684761047363</v>
      </c>
      <c r="AF18" s="9">
        <v>-2592.8838700380902</v>
      </c>
      <c r="AG18" s="9">
        <v>-2592.8838700380902</v>
      </c>
      <c r="AH18" s="9">
        <v>168.96124332524801</v>
      </c>
      <c r="AI18" s="9">
        <v>-2592.8897828750301</v>
      </c>
      <c r="AJ18" s="9">
        <v>1.52951973437159E-3</v>
      </c>
      <c r="AK18" s="9">
        <v>3738</v>
      </c>
      <c r="AL18" s="9">
        <v>2756</v>
      </c>
      <c r="AM18" s="9">
        <v>5162</v>
      </c>
      <c r="AN18" s="9">
        <v>1051.6265134906</v>
      </c>
      <c r="AO18" s="9">
        <v>17235.942112881999</v>
      </c>
      <c r="AP18" s="9">
        <f t="shared" si="0"/>
        <v>4.2364350268355606</v>
      </c>
      <c r="AQ18" s="9">
        <v>526.59947280423796</v>
      </c>
      <c r="AR18" s="9">
        <v>1051.6265134906</v>
      </c>
      <c r="AS18" s="9">
        <v>571.66467862291302</v>
      </c>
      <c r="AT18" s="9">
        <v>2005.4827615546401</v>
      </c>
      <c r="AU18" s="9">
        <v>6908.0389150631099</v>
      </c>
      <c r="AV18" s="9">
        <f t="shared" si="1"/>
        <v>3.8393547754138879</v>
      </c>
      <c r="AW18" s="9">
        <v>45391.1448214103</v>
      </c>
      <c r="AX18" s="9">
        <f t="shared" si="2"/>
        <v>4.6569711363306734</v>
      </c>
      <c r="AY18" s="9">
        <v>211.057198205866</v>
      </c>
      <c r="AZ18" s="9">
        <v>1386.8086105412499</v>
      </c>
      <c r="BA18" s="9">
        <v>571.66467862291302</v>
      </c>
      <c r="BB18" s="9">
        <v>2005.4827615546401</v>
      </c>
      <c r="BC18" s="9" t="s">
        <v>168</v>
      </c>
      <c r="BD18" s="9" t="s">
        <v>167</v>
      </c>
    </row>
    <row r="19" spans="1:56" ht="31.5" x14ac:dyDescent="0.25">
      <c r="A19" s="6" t="s">
        <v>91</v>
      </c>
      <c r="B19" s="25" t="s">
        <v>92</v>
      </c>
      <c r="C19" s="7" t="s">
        <v>232</v>
      </c>
      <c r="D19" s="8" t="s">
        <v>186</v>
      </c>
      <c r="E19" s="9">
        <v>0</v>
      </c>
      <c r="F19" s="9">
        <v>1</v>
      </c>
      <c r="G19" s="9">
        <v>58</v>
      </c>
      <c r="H19" s="9">
        <v>82</v>
      </c>
      <c r="I19" s="9">
        <v>29.3834065729652</v>
      </c>
      <c r="J19" s="9">
        <v>1447562</v>
      </c>
      <c r="K19" s="9">
        <v>182558</v>
      </c>
      <c r="L19" s="9">
        <v>1181011.345</v>
      </c>
      <c r="M19" s="9">
        <v>360776.05940000003</v>
      </c>
      <c r="N19" s="9">
        <v>1100.7389330000001</v>
      </c>
      <c r="O19" s="9">
        <v>11.731383839999999</v>
      </c>
      <c r="P19" s="9">
        <v>1E-8</v>
      </c>
      <c r="Q19" s="9">
        <v>4.0560900000000003E-4</v>
      </c>
      <c r="R19" s="9">
        <v>1.7611543E-2</v>
      </c>
      <c r="S19" s="9">
        <v>58</v>
      </c>
      <c r="T19" s="9">
        <v>1</v>
      </c>
      <c r="U19" s="9">
        <v>25.24092958</v>
      </c>
      <c r="V19" s="9">
        <v>11.477566639999999</v>
      </c>
      <c r="W19" s="9">
        <v>2713794</v>
      </c>
      <c r="X19" s="9">
        <v>28.591348289999999</v>
      </c>
      <c r="Y19" s="9">
        <v>984</v>
      </c>
      <c r="Z19" s="9">
        <v>5.955550455</v>
      </c>
      <c r="AA19" s="9">
        <v>1000</v>
      </c>
      <c r="AB19" s="9">
        <v>50</v>
      </c>
      <c r="AC19" s="9">
        <v>16.4519646642688</v>
      </c>
      <c r="AD19" s="9">
        <v>237.842166900634</v>
      </c>
      <c r="AE19" s="9">
        <v>82.620395660400305</v>
      </c>
      <c r="AF19" s="9">
        <v>-2592.8752770359101</v>
      </c>
      <c r="AG19" s="9">
        <v>-2592.8752770359101</v>
      </c>
      <c r="AH19" s="9">
        <v>583.95004732894904</v>
      </c>
      <c r="AI19" s="9">
        <v>-2592.8783289842399</v>
      </c>
      <c r="AJ19" s="9">
        <v>5.4231473873223295E-4</v>
      </c>
      <c r="AK19" s="9">
        <v>2333</v>
      </c>
      <c r="AL19" s="9">
        <v>2131</v>
      </c>
      <c r="AM19" s="9">
        <v>2557</v>
      </c>
      <c r="AN19" s="9">
        <v>449.69364271564098</v>
      </c>
      <c r="AO19" s="9">
        <v>7415.1495496014604</v>
      </c>
      <c r="AP19" s="9">
        <f t="shared" si="0"/>
        <v>3.8701199143545204</v>
      </c>
      <c r="AQ19" s="9">
        <v>208.911325426421</v>
      </c>
      <c r="AR19" s="9">
        <v>449.69364271564098</v>
      </c>
      <c r="AS19" s="9">
        <v>375.19251857757899</v>
      </c>
      <c r="AT19" s="9">
        <v>540.19271930621699</v>
      </c>
      <c r="AU19" s="9">
        <v>5651.0096264518197</v>
      </c>
      <c r="AV19" s="9">
        <f t="shared" si="1"/>
        <v>3.7521260471158677</v>
      </c>
      <c r="AW19" s="9">
        <v>9762.6536488370493</v>
      </c>
      <c r="AX19" s="9">
        <f t="shared" si="2"/>
        <v>3.9895678820522682</v>
      </c>
      <c r="AY19" s="9">
        <v>159.209184273696</v>
      </c>
      <c r="AZ19" s="9">
        <v>275.04892515178699</v>
      </c>
      <c r="BA19" s="9">
        <v>375.19251857757899</v>
      </c>
      <c r="BB19" s="9">
        <v>540.19271930621699</v>
      </c>
      <c r="BC19" s="9" t="s">
        <v>188</v>
      </c>
      <c r="BD19" s="9" t="s">
        <v>187</v>
      </c>
    </row>
    <row r="20" spans="1:56" ht="31.5" x14ac:dyDescent="0.25">
      <c r="A20" s="6" t="s">
        <v>91</v>
      </c>
      <c r="B20" s="25" t="s">
        <v>97</v>
      </c>
      <c r="C20" s="7" t="s">
        <v>233</v>
      </c>
      <c r="D20" s="8" t="s">
        <v>189</v>
      </c>
      <c r="E20" s="9">
        <v>0</v>
      </c>
      <c r="F20" s="9">
        <v>1</v>
      </c>
      <c r="G20" s="9">
        <v>54</v>
      </c>
      <c r="H20" s="9">
        <v>76</v>
      </c>
      <c r="I20" s="9">
        <v>27.426501398336999</v>
      </c>
      <c r="J20" s="9">
        <v>1093748</v>
      </c>
      <c r="K20" s="9">
        <v>148002</v>
      </c>
      <c r="L20" s="9">
        <v>893776.74069999997</v>
      </c>
      <c r="M20" s="9">
        <v>270871.49060000002</v>
      </c>
      <c r="N20" s="9">
        <v>1004.20787</v>
      </c>
      <c r="O20" s="9">
        <v>11.66725447</v>
      </c>
      <c r="P20" s="9">
        <v>1E-8</v>
      </c>
      <c r="Q20" s="9">
        <v>4.9196899999999998E-4</v>
      </c>
      <c r="R20" s="9">
        <v>1.9574679000000001E-2</v>
      </c>
      <c r="S20" s="9">
        <v>54</v>
      </c>
      <c r="T20" s="9">
        <v>1</v>
      </c>
      <c r="U20" s="9">
        <v>23.644852570000001</v>
      </c>
      <c r="V20" s="9">
        <v>10.68889042</v>
      </c>
      <c r="W20" s="9">
        <v>2041204</v>
      </c>
      <c r="X20" s="9">
        <v>26.64835592</v>
      </c>
      <c r="Y20" s="9">
        <v>922</v>
      </c>
      <c r="Z20" s="9">
        <v>5.9036877690000003</v>
      </c>
      <c r="AA20" s="9">
        <v>1200</v>
      </c>
      <c r="AB20" s="9">
        <v>50</v>
      </c>
      <c r="AC20" s="9">
        <v>18.8545133587169</v>
      </c>
      <c r="AD20" s="9">
        <v>257.02418899536099</v>
      </c>
      <c r="AE20" s="9">
        <v>101.99049377441401</v>
      </c>
      <c r="AF20" s="9">
        <v>-2592.8230284820102</v>
      </c>
      <c r="AG20" s="9">
        <v>-2592.8230284820102</v>
      </c>
      <c r="AH20" s="9">
        <v>658.04609847942197</v>
      </c>
      <c r="AI20" s="9">
        <v>-2592.82589104624</v>
      </c>
      <c r="AJ20" s="9">
        <v>2.02506527966047E-4</v>
      </c>
      <c r="AK20" s="9">
        <v>2705</v>
      </c>
      <c r="AL20" s="9">
        <v>2286</v>
      </c>
      <c r="AM20" s="9">
        <v>3217</v>
      </c>
      <c r="AN20" s="9">
        <v>518.24096715953601</v>
      </c>
      <c r="AO20" s="9">
        <v>7537.27548254044</v>
      </c>
      <c r="AP20" s="9">
        <f t="shared" si="0"/>
        <v>3.8772143887440937</v>
      </c>
      <c r="AQ20" s="9">
        <v>215.960039277297</v>
      </c>
      <c r="AR20" s="9">
        <v>518.24096715953601</v>
      </c>
      <c r="AS20" s="9">
        <v>370.126051669692</v>
      </c>
      <c r="AT20" s="9">
        <v>732.99215085094204</v>
      </c>
      <c r="AU20" s="9">
        <v>4549.2652395278101</v>
      </c>
      <c r="AV20" s="9">
        <f t="shared" si="1"/>
        <v>3.6579412585941182</v>
      </c>
      <c r="AW20" s="9">
        <v>12678.438348101599</v>
      </c>
      <c r="AX20" s="9">
        <f t="shared" si="2"/>
        <v>4.1030657631222365</v>
      </c>
      <c r="AY20" s="9">
        <v>130.346768150781</v>
      </c>
      <c r="AZ20" s="9">
        <v>363.26601700751098</v>
      </c>
      <c r="BA20" s="9">
        <v>370.126051669692</v>
      </c>
      <c r="BB20" s="9">
        <v>732.99215085094204</v>
      </c>
      <c r="BC20" s="9" t="s">
        <v>191</v>
      </c>
      <c r="BD20" s="9" t="s">
        <v>190</v>
      </c>
    </row>
    <row r="21" spans="1:56" ht="31.5" x14ac:dyDescent="0.25">
      <c r="A21" s="6" t="s">
        <v>91</v>
      </c>
      <c r="B21" s="25" t="s">
        <v>97</v>
      </c>
      <c r="C21" s="7" t="s">
        <v>234</v>
      </c>
      <c r="D21" s="8" t="s">
        <v>192</v>
      </c>
      <c r="E21" s="9">
        <v>0</v>
      </c>
      <c r="F21" s="9">
        <v>1</v>
      </c>
      <c r="G21" s="9">
        <v>55</v>
      </c>
      <c r="H21" s="9">
        <v>78</v>
      </c>
      <c r="I21" s="9">
        <v>27.726735253572901</v>
      </c>
      <c r="J21" s="9">
        <v>1174567</v>
      </c>
      <c r="K21" s="9">
        <v>155313</v>
      </c>
      <c r="L21" s="9">
        <v>958974.01820000005</v>
      </c>
      <c r="M21" s="9">
        <v>291756.30859999999</v>
      </c>
      <c r="N21" s="9">
        <v>1012.685125</v>
      </c>
      <c r="O21" s="9">
        <v>11.730540550000001</v>
      </c>
      <c r="P21" s="9">
        <v>1E-8</v>
      </c>
      <c r="Q21" s="9">
        <v>4.6156399999999997E-4</v>
      </c>
      <c r="R21" s="9">
        <v>1.9248728999999999E-2</v>
      </c>
      <c r="S21" s="9">
        <v>55</v>
      </c>
      <c r="T21" s="9">
        <v>1</v>
      </c>
      <c r="U21" s="9">
        <v>24.039563229999999</v>
      </c>
      <c r="V21" s="9">
        <v>10.88449743</v>
      </c>
      <c r="W21" s="9">
        <v>2194033</v>
      </c>
      <c r="X21" s="9">
        <v>26.946952079999999</v>
      </c>
      <c r="Y21" s="9">
        <v>915</v>
      </c>
      <c r="Z21" s="9">
        <v>6.0103812630000002</v>
      </c>
      <c r="AA21" s="9">
        <v>1200</v>
      </c>
      <c r="AB21" s="9">
        <v>50</v>
      </c>
      <c r="AC21" s="9">
        <v>19.812978098701102</v>
      </c>
      <c r="AD21" s="9">
        <v>254.981224060058</v>
      </c>
      <c r="AE21" s="9">
        <v>102.39288330078099</v>
      </c>
      <c r="AF21" s="9">
        <v>-2592.8433170551102</v>
      </c>
      <c r="AG21" s="9">
        <v>-2592.8433170551102</v>
      </c>
      <c r="AH21" s="9">
        <v>689.83225559362995</v>
      </c>
      <c r="AI21" s="9">
        <v>-2592.8502936488499</v>
      </c>
      <c r="AJ21" s="9">
        <v>8.9116201972922696E-4</v>
      </c>
      <c r="AK21" s="9">
        <v>5896</v>
      </c>
      <c r="AL21" s="9">
        <v>4922</v>
      </c>
      <c r="AM21" s="9">
        <v>7101</v>
      </c>
      <c r="AN21" s="9">
        <v>2471.8506679823099</v>
      </c>
      <c r="AO21" s="9">
        <v>81822.3943</v>
      </c>
      <c r="AP21" s="9">
        <f t="shared" si="0"/>
        <v>4.9128721837429463</v>
      </c>
      <c r="AQ21" s="9">
        <v>2350.0572693802701</v>
      </c>
      <c r="AR21" s="9">
        <v>2471.8506679823099</v>
      </c>
      <c r="AS21" s="9">
        <v>1722.6240221159101</v>
      </c>
      <c r="AT21" s="9">
        <v>3585.4717599999999</v>
      </c>
      <c r="AU21" s="9">
        <v>47601.932861313602</v>
      </c>
      <c r="AV21" s="9">
        <f t="shared" si="1"/>
        <v>4.6776245874675553</v>
      </c>
      <c r="AW21" s="9">
        <v>142941.48800000001</v>
      </c>
      <c r="AX21" s="9">
        <f t="shared" si="2"/>
        <v>5.1551582987307665</v>
      </c>
      <c r="AY21" s="9">
        <v>1367.1962213849199</v>
      </c>
      <c r="AZ21" s="9">
        <v>4105.4858466425503</v>
      </c>
      <c r="BA21" s="9">
        <v>1722.6240221159101</v>
      </c>
      <c r="BB21" s="9">
        <v>3585.47175592231</v>
      </c>
      <c r="BC21" s="9" t="s">
        <v>214</v>
      </c>
      <c r="BD21" s="9" t="s">
        <v>193</v>
      </c>
    </row>
    <row r="22" spans="1:56" ht="31.5" x14ac:dyDescent="0.25">
      <c r="A22" s="6" t="s">
        <v>91</v>
      </c>
      <c r="B22" s="25">
        <v>5</v>
      </c>
      <c r="C22" s="7" t="s">
        <v>235</v>
      </c>
      <c r="D22" s="8" t="s">
        <v>194</v>
      </c>
      <c r="E22" s="9">
        <v>0</v>
      </c>
      <c r="F22" s="9">
        <v>1</v>
      </c>
      <c r="G22" s="9">
        <v>55</v>
      </c>
      <c r="H22" s="9">
        <v>78</v>
      </c>
      <c r="I22" s="9">
        <v>27.726735253572901</v>
      </c>
      <c r="J22" s="9">
        <v>1171255</v>
      </c>
      <c r="K22" s="9">
        <v>155597</v>
      </c>
      <c r="L22" s="9">
        <v>956258.8909</v>
      </c>
      <c r="M22" s="9">
        <v>290920.20209999999</v>
      </c>
      <c r="N22" s="9">
        <v>932.98500239999998</v>
      </c>
      <c r="O22" s="9">
        <v>11.750865320000001</v>
      </c>
      <c r="P22" s="9">
        <v>1E-8</v>
      </c>
      <c r="Q22" s="9">
        <v>4.2639099999999998E-4</v>
      </c>
      <c r="R22" s="9">
        <v>1.9323120999999999E-2</v>
      </c>
      <c r="S22" s="9">
        <v>55</v>
      </c>
      <c r="T22" s="9">
        <v>1</v>
      </c>
      <c r="U22" s="9">
        <v>24.036531759999999</v>
      </c>
      <c r="V22" s="9">
        <v>10.88364793</v>
      </c>
      <c r="W22" s="9">
        <v>2188097</v>
      </c>
      <c r="X22" s="9">
        <v>26.946952079999999</v>
      </c>
      <c r="Y22" s="9">
        <v>924</v>
      </c>
      <c r="Z22" s="9">
        <v>6.027759262</v>
      </c>
      <c r="AA22" s="9">
        <v>1200</v>
      </c>
      <c r="AB22" s="9">
        <v>50</v>
      </c>
      <c r="AC22" s="9">
        <v>19.857701631074399</v>
      </c>
      <c r="AD22" s="9">
        <v>255.86305236816401</v>
      </c>
      <c r="AE22" s="9">
        <v>102.670295715332</v>
      </c>
      <c r="AF22" s="9">
        <v>-2592.9084692604201</v>
      </c>
      <c r="AG22" s="9">
        <v>-2592.9084692604201</v>
      </c>
      <c r="AH22" s="9">
        <v>692.71747474441395</v>
      </c>
      <c r="AI22" s="9">
        <v>-2592.9111242911599</v>
      </c>
      <c r="AJ22" s="9">
        <v>6.1270775843182005E-4</v>
      </c>
      <c r="AK22" s="9">
        <v>2696</v>
      </c>
      <c r="AL22" s="9">
        <v>2447</v>
      </c>
      <c r="AM22" s="9">
        <v>2975</v>
      </c>
      <c r="AN22" s="9">
        <v>518.22945840420198</v>
      </c>
      <c r="AO22" s="9">
        <v>7855.4680917560599</v>
      </c>
      <c r="AP22" s="9">
        <f t="shared" si="0"/>
        <v>3.8951720688934648</v>
      </c>
      <c r="AQ22" s="9">
        <v>225.18782508853599</v>
      </c>
      <c r="AR22" s="9">
        <v>518.22945840420198</v>
      </c>
      <c r="AS22" s="9">
        <v>426.92369494231002</v>
      </c>
      <c r="AT22" s="9">
        <v>631.03908751077097</v>
      </c>
      <c r="AU22" s="9">
        <v>5873.7345185497097</v>
      </c>
      <c r="AV22" s="9">
        <f t="shared" si="1"/>
        <v>3.7689143133589855</v>
      </c>
      <c r="AW22" s="9">
        <v>10555.3664552844</v>
      </c>
      <c r="AX22" s="9">
        <f t="shared" si="2"/>
        <v>4.0234733154973199</v>
      </c>
      <c r="AY22" s="9">
        <v>168.37869951604401</v>
      </c>
      <c r="AZ22" s="9">
        <v>302.58413468351898</v>
      </c>
      <c r="BA22" s="9">
        <v>426.92369494231002</v>
      </c>
      <c r="BB22" s="9">
        <v>631.03908751077097</v>
      </c>
      <c r="BC22" s="9" t="s">
        <v>196</v>
      </c>
      <c r="BD22" s="9" t="s">
        <v>195</v>
      </c>
    </row>
    <row r="23" spans="1:56" ht="31.5" x14ac:dyDescent="0.25">
      <c r="A23" s="6" t="s">
        <v>146</v>
      </c>
      <c r="B23" s="25" t="s">
        <v>147</v>
      </c>
      <c r="C23" s="7" t="s">
        <v>236</v>
      </c>
      <c r="D23" s="8" t="s">
        <v>145</v>
      </c>
      <c r="E23" s="9">
        <v>1</v>
      </c>
      <c r="F23" s="9">
        <v>5</v>
      </c>
      <c r="G23" s="9">
        <v>14</v>
      </c>
      <c r="H23" s="9">
        <v>16</v>
      </c>
      <c r="I23" s="9">
        <v>7.4831842644451303</v>
      </c>
      <c r="J23" s="9">
        <v>5264</v>
      </c>
      <c r="K23" s="9">
        <v>2224</v>
      </c>
      <c r="L23" s="9">
        <v>4512</v>
      </c>
      <c r="M23" s="9">
        <v>1052.9479699999999</v>
      </c>
      <c r="N23" s="9">
        <v>96.025425290000001</v>
      </c>
      <c r="O23" s="9">
        <v>34.2779399</v>
      </c>
      <c r="P23" s="9">
        <v>2.36E-8</v>
      </c>
      <c r="Q23" s="9">
        <v>1.1327759999999999E-2</v>
      </c>
      <c r="R23" s="9">
        <v>0.374674112</v>
      </c>
      <c r="S23" s="9">
        <v>14</v>
      </c>
      <c r="T23" s="9">
        <v>1</v>
      </c>
      <c r="U23" s="9">
        <v>7.4516928160000004</v>
      </c>
      <c r="V23" s="9">
        <v>2.71672862</v>
      </c>
      <c r="W23" s="9">
        <v>8478</v>
      </c>
      <c r="X23" s="9">
        <v>6.8370113520000002</v>
      </c>
      <c r="Y23" s="9">
        <v>105</v>
      </c>
      <c r="Z23" s="9">
        <v>4.1159898420000003</v>
      </c>
      <c r="AA23" s="9">
        <v>154</v>
      </c>
      <c r="AB23" s="9">
        <v>10</v>
      </c>
      <c r="AC23" s="9">
        <v>5.1338505602777701E-3</v>
      </c>
      <c r="AD23" s="9">
        <v>153.823947906494</v>
      </c>
      <c r="AE23" s="9">
        <v>0.79167175292968694</v>
      </c>
      <c r="AF23" s="9">
        <v>-1321.59348912464</v>
      </c>
      <c r="AG23" s="9">
        <v>-1321.59348912464</v>
      </c>
      <c r="AH23" s="9">
        <v>0.12787016529638801</v>
      </c>
      <c r="AI23" s="9">
        <v>-1321.5936123702299</v>
      </c>
      <c r="AJ23" s="10">
        <v>3.1890418087718798E-5</v>
      </c>
      <c r="AK23" s="9">
        <v>71</v>
      </c>
      <c r="AL23" s="9">
        <v>65</v>
      </c>
      <c r="AM23" s="9">
        <v>77</v>
      </c>
      <c r="AN23" s="9">
        <v>0.168275312300495</v>
      </c>
      <c r="AO23" s="9">
        <v>1.25308955572203E-2</v>
      </c>
      <c r="AP23" s="9">
        <f t="shared" si="0"/>
        <v>-1.9020178897671858</v>
      </c>
      <c r="AQ23" s="9">
        <v>5.0310207254447602E-4</v>
      </c>
      <c r="AR23" s="9">
        <v>0.79167175292968694</v>
      </c>
      <c r="AS23" s="9">
        <v>0.14103614252521199</v>
      </c>
      <c r="AT23" s="9">
        <v>0.19791793823242099</v>
      </c>
      <c r="AU23" s="9">
        <v>9.6149522993192096E-3</v>
      </c>
      <c r="AV23" s="9">
        <f t="shared" si="1"/>
        <v>-2.0170528659958431</v>
      </c>
      <c r="AW23" s="9">
        <v>1.5983770662048601E-2</v>
      </c>
      <c r="AX23" s="9">
        <f t="shared" si="2"/>
        <v>-1.7963207604069644</v>
      </c>
      <c r="AY23" s="9">
        <v>3.8603006521880197E-4</v>
      </c>
      <c r="AZ23" s="9">
        <v>6.4173132003472202E-4</v>
      </c>
      <c r="BA23" s="9">
        <v>0.79167175292968694</v>
      </c>
      <c r="BB23" s="9">
        <v>0.79167175292968694</v>
      </c>
      <c r="BC23" s="9" t="s">
        <v>148</v>
      </c>
      <c r="BD23" s="9" t="s">
        <v>148</v>
      </c>
    </row>
    <row r="24" spans="1:56" ht="31.5" x14ac:dyDescent="0.25">
      <c r="A24" s="6" t="s">
        <v>146</v>
      </c>
      <c r="B24" s="25" t="s">
        <v>147</v>
      </c>
      <c r="C24" s="7" t="s">
        <v>237</v>
      </c>
      <c r="D24" s="8" t="s">
        <v>149</v>
      </c>
      <c r="E24" s="9">
        <v>1</v>
      </c>
      <c r="F24" s="9">
        <v>5</v>
      </c>
      <c r="G24" s="9">
        <v>30</v>
      </c>
      <c r="H24" s="9">
        <v>48</v>
      </c>
      <c r="I24" s="9">
        <v>12.1459290972</v>
      </c>
      <c r="J24" s="9">
        <v>106848</v>
      </c>
      <c r="K24" s="9">
        <v>24434</v>
      </c>
      <c r="L24" s="9">
        <v>88736.133329999997</v>
      </c>
      <c r="M24" s="9">
        <v>24919.202789999999</v>
      </c>
      <c r="N24" s="9">
        <v>285.41793849999999</v>
      </c>
      <c r="O24" s="9">
        <v>32.424033360000003</v>
      </c>
      <c r="P24" s="9">
        <v>1.0099999999999999E-8</v>
      </c>
      <c r="Q24" s="9">
        <v>1.5016070000000001E-3</v>
      </c>
      <c r="R24" s="9">
        <v>7.9300213999999994E-2</v>
      </c>
      <c r="S24" s="9">
        <v>30</v>
      </c>
      <c r="T24" s="9">
        <v>1</v>
      </c>
      <c r="U24" s="9">
        <v>14.00543996</v>
      </c>
      <c r="V24" s="9">
        <v>5.8935947789999998</v>
      </c>
      <c r="W24" s="9">
        <v>190076</v>
      </c>
      <c r="X24" s="9">
        <v>11.462568259999999</v>
      </c>
      <c r="Y24" s="9">
        <v>425</v>
      </c>
      <c r="Z24" s="9">
        <v>5.7229045989999996</v>
      </c>
      <c r="AA24" s="9">
        <v>1287</v>
      </c>
      <c r="AB24" s="9">
        <v>20</v>
      </c>
      <c r="AC24" s="9">
        <v>2.9961659866477701</v>
      </c>
      <c r="AD24" s="9">
        <v>192.96138000488199</v>
      </c>
      <c r="AE24" s="9">
        <v>43.166923522949197</v>
      </c>
      <c r="AF24" s="9">
        <v>-1322.10686554824</v>
      </c>
      <c r="AG24" s="9">
        <v>-1322.10686554824</v>
      </c>
      <c r="AH24" s="9">
        <v>98.811284888329098</v>
      </c>
      <c r="AI24" s="9">
        <v>-1322.10703984468</v>
      </c>
      <c r="AJ24" s="10">
        <v>1.8484530384299002E-5</v>
      </c>
      <c r="AK24" s="9">
        <v>617</v>
      </c>
      <c r="AL24" s="9">
        <v>545</v>
      </c>
      <c r="AM24" s="9">
        <v>700</v>
      </c>
      <c r="AN24" s="9">
        <v>9.9212029137396396</v>
      </c>
      <c r="AO24" s="9">
        <v>10.8874556280616</v>
      </c>
      <c r="AP24" s="9">
        <f t="shared" si="0"/>
        <v>1.0369263980476584</v>
      </c>
      <c r="AQ24" s="9">
        <v>0.33013055412447301</v>
      </c>
      <c r="AR24" s="9">
        <v>43.166923522949197</v>
      </c>
      <c r="AS24" s="9">
        <v>7.74082071048419</v>
      </c>
      <c r="AT24" s="9">
        <v>12.769976090016799</v>
      </c>
      <c r="AU24" s="9">
        <v>7.5034399767137803</v>
      </c>
      <c r="AV24" s="9">
        <f t="shared" si="1"/>
        <v>0.87526041277786315</v>
      </c>
      <c r="AW24" s="9">
        <v>15.8988248881705</v>
      </c>
      <c r="AX24" s="9">
        <f t="shared" si="2"/>
        <v>1.2013650259907052</v>
      </c>
      <c r="AY24" s="9">
        <v>0.22752008200774201</v>
      </c>
      <c r="AZ24" s="9">
        <v>0.48208581045617099</v>
      </c>
      <c r="BA24" s="9">
        <v>43.166923522949197</v>
      </c>
      <c r="BB24" s="9">
        <v>43.166923522949197</v>
      </c>
      <c r="BC24" s="9" t="s">
        <v>150</v>
      </c>
      <c r="BD24" s="9" t="s">
        <v>150</v>
      </c>
    </row>
    <row r="25" spans="1:56" ht="31.5" x14ac:dyDescent="0.25">
      <c r="A25" s="6" t="s">
        <v>146</v>
      </c>
      <c r="B25" s="25" t="s">
        <v>152</v>
      </c>
      <c r="C25" s="7" t="s">
        <v>238</v>
      </c>
      <c r="D25" s="8" t="s">
        <v>151</v>
      </c>
      <c r="E25" s="9">
        <v>1</v>
      </c>
      <c r="F25" s="9">
        <v>3</v>
      </c>
      <c r="G25" s="9">
        <v>14</v>
      </c>
      <c r="H25" s="9">
        <v>18</v>
      </c>
      <c r="I25" s="9">
        <v>7.1180367691694002</v>
      </c>
      <c r="J25" s="9">
        <v>5264</v>
      </c>
      <c r="K25" s="9">
        <v>2224</v>
      </c>
      <c r="L25" s="9">
        <v>4512</v>
      </c>
      <c r="M25" s="9">
        <v>1052.9479699999999</v>
      </c>
      <c r="N25" s="9">
        <v>126.1737303</v>
      </c>
      <c r="O25" s="9">
        <v>33.948423779999999</v>
      </c>
      <c r="P25" s="9">
        <v>5.7899999999999998E-7</v>
      </c>
      <c r="Q25" s="9">
        <v>1.4884243E-2</v>
      </c>
      <c r="R25" s="9">
        <v>0.37393894700000002</v>
      </c>
      <c r="S25" s="9">
        <v>14</v>
      </c>
      <c r="T25" s="9">
        <v>1</v>
      </c>
      <c r="U25" s="9">
        <v>7.4516928160000004</v>
      </c>
      <c r="V25" s="9">
        <v>2.71672862</v>
      </c>
      <c r="W25" s="9">
        <v>8478</v>
      </c>
      <c r="X25" s="9">
        <v>6.7790194049999997</v>
      </c>
      <c r="Y25" s="9">
        <v>105</v>
      </c>
      <c r="Z25" s="9">
        <v>4.8819799489999998</v>
      </c>
      <c r="AA25" s="9">
        <v>370</v>
      </c>
      <c r="AB25" s="9">
        <v>13</v>
      </c>
      <c r="AC25" s="9">
        <v>1.9301173524444399E-2</v>
      </c>
      <c r="AD25" s="9">
        <v>153.964599609375</v>
      </c>
      <c r="AE25" s="9">
        <v>2.0710639953613201</v>
      </c>
      <c r="AF25" s="9">
        <v>-1322.5820933124</v>
      </c>
      <c r="AG25" s="9">
        <v>-1322.5820933124</v>
      </c>
      <c r="AH25" s="9">
        <v>0.689689119433611</v>
      </c>
      <c r="AI25" s="9">
        <v>-1322.58223410912</v>
      </c>
      <c r="AJ25" s="10">
        <v>4.8046610152695201E-5</v>
      </c>
      <c r="AK25" s="9">
        <v>188</v>
      </c>
      <c r="AL25" s="9">
        <v>171</v>
      </c>
      <c r="AM25" s="9">
        <v>206</v>
      </c>
      <c r="AN25" s="9">
        <v>0.53469456429547602</v>
      </c>
      <c r="AO25" s="9">
        <v>9.0473574726179506E-2</v>
      </c>
      <c r="AP25" s="9">
        <f t="shared" si="0"/>
        <v>-1.043478249816127</v>
      </c>
      <c r="AQ25" s="9">
        <v>2.5319323097351999E-3</v>
      </c>
      <c r="AR25" s="9">
        <v>2.0710639953613201</v>
      </c>
      <c r="AS25" s="9">
        <v>0.44236656163886401</v>
      </c>
      <c r="AT25" s="9">
        <v>0.64198445366803003</v>
      </c>
      <c r="AU25" s="9">
        <v>6.8082662854564505E-2</v>
      </c>
      <c r="AV25" s="9">
        <f t="shared" si="1"/>
        <v>-1.1669634664307049</v>
      </c>
      <c r="AW25" s="9">
        <v>0.119028199302916</v>
      </c>
      <c r="AX25" s="9">
        <f t="shared" si="2"/>
        <v>-0.92435013649970976</v>
      </c>
      <c r="AY25" s="9">
        <v>1.90531538447546E-3</v>
      </c>
      <c r="AZ25" s="9">
        <v>3.3310427326074402E-3</v>
      </c>
      <c r="BA25" s="9">
        <v>2.0710639953613201</v>
      </c>
      <c r="BB25" s="9">
        <v>2.0710639953613201</v>
      </c>
      <c r="BC25" s="9" t="s">
        <v>153</v>
      </c>
      <c r="BD25" s="9" t="s">
        <v>153</v>
      </c>
    </row>
    <row r="26" spans="1:56" ht="31.5" x14ac:dyDescent="0.25">
      <c r="A26" s="6" t="s">
        <v>146</v>
      </c>
      <c r="B26" s="25" t="s">
        <v>152</v>
      </c>
      <c r="C26" s="7" t="s">
        <v>239</v>
      </c>
      <c r="D26" s="8" t="s">
        <v>154</v>
      </c>
      <c r="E26" s="9">
        <v>1</v>
      </c>
      <c r="F26" s="9">
        <v>3</v>
      </c>
      <c r="G26" s="9">
        <v>31</v>
      </c>
      <c r="H26" s="9">
        <v>50</v>
      </c>
      <c r="I26" s="9">
        <v>12.334484537344499</v>
      </c>
      <c r="J26" s="9">
        <v>121659</v>
      </c>
      <c r="K26" s="9">
        <v>27057</v>
      </c>
      <c r="L26" s="9">
        <v>100939.19349999999</v>
      </c>
      <c r="M26" s="9">
        <v>28492.441869999999</v>
      </c>
      <c r="N26" s="9">
        <v>365.8336405</v>
      </c>
      <c r="O26" s="9">
        <v>32.350634319999998</v>
      </c>
      <c r="P26" s="9">
        <v>1.02E-8</v>
      </c>
      <c r="Q26" s="9">
        <v>1.684627E-3</v>
      </c>
      <c r="R26" s="9">
        <v>7.4875436000000004E-2</v>
      </c>
      <c r="S26" s="9">
        <v>31</v>
      </c>
      <c r="T26" s="9">
        <v>1</v>
      </c>
      <c r="U26" s="9">
        <v>14.40926045</v>
      </c>
      <c r="V26" s="9">
        <v>6.0937387950000002</v>
      </c>
      <c r="W26" s="9">
        <v>217161</v>
      </c>
      <c r="X26" s="9">
        <v>12.28692916</v>
      </c>
      <c r="Y26" s="9">
        <v>461</v>
      </c>
      <c r="Z26" s="9">
        <v>6.0376415259999998</v>
      </c>
      <c r="AA26" s="9">
        <v>966</v>
      </c>
      <c r="AB26" s="9">
        <v>14</v>
      </c>
      <c r="AC26" s="9">
        <v>1.4079571339813799</v>
      </c>
      <c r="AD26" s="9">
        <v>178.72684097289999</v>
      </c>
      <c r="AE26" s="9">
        <v>28.292068481445298</v>
      </c>
      <c r="AF26" s="9">
        <v>-1322.66140069072</v>
      </c>
      <c r="AG26" s="9">
        <v>-1322.66140069072</v>
      </c>
      <c r="AH26" s="9">
        <v>46.743155359925197</v>
      </c>
      <c r="AI26" s="9">
        <v>-1322.661962118</v>
      </c>
      <c r="AJ26" s="10">
        <v>2.45938485100663E-5</v>
      </c>
      <c r="AK26" s="9">
        <v>723</v>
      </c>
      <c r="AL26" s="9">
        <v>695</v>
      </c>
      <c r="AM26" s="9">
        <v>752</v>
      </c>
      <c r="AN26" s="9">
        <v>15.848459062833401</v>
      </c>
      <c r="AO26" s="9">
        <v>19.5975390453223</v>
      </c>
      <c r="AP26" s="9">
        <f t="shared" si="0"/>
        <v>1.2922015383901637</v>
      </c>
      <c r="AQ26" s="9">
        <v>0.59030022031838603</v>
      </c>
      <c r="AR26" s="9">
        <v>28.292068481445298</v>
      </c>
      <c r="AS26" s="9">
        <v>14.644685752703801</v>
      </c>
      <c r="AT26" s="9">
        <v>17.145341073230199</v>
      </c>
      <c r="AU26" s="9">
        <v>17.4076866411637</v>
      </c>
      <c r="AV26" s="9">
        <f t="shared" si="1"/>
        <v>1.2407410602769127</v>
      </c>
      <c r="AW26" s="9">
        <v>22.051603157696299</v>
      </c>
      <c r="AX26" s="9">
        <f t="shared" si="2"/>
        <v>1.3434401682814989</v>
      </c>
      <c r="AY26" s="9">
        <v>0.52433936912936396</v>
      </c>
      <c r="AZ26" s="9">
        <v>0.66421942940171097</v>
      </c>
      <c r="BA26" s="9">
        <v>28.292068481445298</v>
      </c>
      <c r="BB26" s="9">
        <v>28.292068481445298</v>
      </c>
      <c r="BC26" s="10" t="s">
        <v>155</v>
      </c>
      <c r="BD26" s="10" t="s">
        <v>155</v>
      </c>
    </row>
    <row r="27" spans="1:56" ht="31.5" x14ac:dyDescent="0.25">
      <c r="A27" s="6" t="s">
        <v>146</v>
      </c>
      <c r="B27" s="25" t="s">
        <v>157</v>
      </c>
      <c r="C27" s="7" t="s">
        <v>240</v>
      </c>
      <c r="D27" s="8" t="s">
        <v>156</v>
      </c>
      <c r="E27" s="9">
        <v>1</v>
      </c>
      <c r="F27" s="9">
        <v>5</v>
      </c>
      <c r="G27" s="9">
        <v>14</v>
      </c>
      <c r="H27" s="9">
        <v>18</v>
      </c>
      <c r="I27" s="9">
        <v>7.1180367691694002</v>
      </c>
      <c r="J27" s="9">
        <v>5264</v>
      </c>
      <c r="K27" s="9">
        <v>2224</v>
      </c>
      <c r="L27" s="9">
        <v>4512</v>
      </c>
      <c r="M27" s="9">
        <v>1052.9479699999999</v>
      </c>
      <c r="N27" s="9">
        <v>116.9057993</v>
      </c>
      <c r="O27" s="9">
        <v>34.123580459999999</v>
      </c>
      <c r="P27" s="9">
        <v>1.11E-7</v>
      </c>
      <c r="Q27" s="9">
        <v>1.379094E-2</v>
      </c>
      <c r="R27" s="9">
        <v>0.37350593199999998</v>
      </c>
      <c r="S27" s="9">
        <v>14</v>
      </c>
      <c r="T27" s="9">
        <v>1</v>
      </c>
      <c r="U27" s="9">
        <v>7.4516928160000004</v>
      </c>
      <c r="V27" s="9">
        <v>2.71672862</v>
      </c>
      <c r="W27" s="9">
        <v>8478</v>
      </c>
      <c r="X27" s="9">
        <v>6.4779894100000002</v>
      </c>
      <c r="Y27" s="9">
        <v>105</v>
      </c>
      <c r="Z27" s="9">
        <v>4.4575473429999999</v>
      </c>
      <c r="AA27" s="9">
        <v>140</v>
      </c>
      <c r="AB27" s="9">
        <v>16</v>
      </c>
      <c r="AC27" s="9">
        <v>5.4251082908333302E-3</v>
      </c>
      <c r="AD27" s="9">
        <v>153.90319442749001</v>
      </c>
      <c r="AE27" s="9">
        <v>0.76110076904296797</v>
      </c>
      <c r="AF27" s="9">
        <v>-1322.5942655223701</v>
      </c>
      <c r="AG27" s="9">
        <v>-1322.5942655223701</v>
      </c>
      <c r="AH27" s="9">
        <v>0.14010400046361099</v>
      </c>
      <c r="AI27" s="9">
        <v>-1322.5944380353999</v>
      </c>
      <c r="AJ27" s="10">
        <v>2.8434190177339499E-5</v>
      </c>
      <c r="AK27" s="9">
        <v>75</v>
      </c>
      <c r="AL27" s="9">
        <v>71</v>
      </c>
      <c r="AM27" s="9">
        <v>80</v>
      </c>
      <c r="AN27" s="9">
        <v>0.218428154380954</v>
      </c>
      <c r="AO27" s="9">
        <v>2.1540224196642099E-2</v>
      </c>
      <c r="AP27" s="9">
        <f t="shared" si="0"/>
        <v>-1.6667497807568019</v>
      </c>
      <c r="AQ27" s="9">
        <v>8.3408074351141103E-4</v>
      </c>
      <c r="AR27" s="9">
        <v>0.76110076904296797</v>
      </c>
      <c r="AS27" s="9">
        <v>0.19575045799722399</v>
      </c>
      <c r="AT27" s="9">
        <v>0.24852270009566299</v>
      </c>
      <c r="AU27" s="9">
        <v>1.8274330506534799E-2</v>
      </c>
      <c r="AV27" s="9">
        <f t="shared" si="1"/>
        <v>-1.7381585247746763</v>
      </c>
      <c r="AW27" s="9">
        <v>2.6141854313909901E-2</v>
      </c>
      <c r="AX27" s="9">
        <f t="shared" si="2"/>
        <v>-1.5826636099560718</v>
      </c>
      <c r="AY27" s="9">
        <v>7.0761878042290395E-4</v>
      </c>
      <c r="AZ27" s="9">
        <v>1.01226510382895E-3</v>
      </c>
      <c r="BA27" s="9">
        <v>0.76110076904296797</v>
      </c>
      <c r="BB27" s="9">
        <v>0.76110076904296797</v>
      </c>
      <c r="BC27" s="9" t="s">
        <v>158</v>
      </c>
      <c r="BD27" s="9" t="s">
        <v>158</v>
      </c>
    </row>
    <row r="28" spans="1:56" ht="31.5" x14ac:dyDescent="0.25">
      <c r="A28" s="6" t="s">
        <v>146</v>
      </c>
      <c r="B28" s="25" t="s">
        <v>157</v>
      </c>
      <c r="C28" s="7" t="s">
        <v>241</v>
      </c>
      <c r="D28" s="8" t="s">
        <v>159</v>
      </c>
      <c r="E28" s="9">
        <v>1</v>
      </c>
      <c r="F28" s="9">
        <v>5</v>
      </c>
      <c r="G28" s="9">
        <v>31</v>
      </c>
      <c r="H28" s="9">
        <v>50</v>
      </c>
      <c r="I28" s="9">
        <v>12.334484537344499</v>
      </c>
      <c r="J28" s="9">
        <v>121655</v>
      </c>
      <c r="K28" s="9">
        <v>27051</v>
      </c>
      <c r="L28" s="9">
        <v>100936.16130000001</v>
      </c>
      <c r="M28" s="9">
        <v>28493.055179999999</v>
      </c>
      <c r="N28" s="9">
        <v>334.52601479999998</v>
      </c>
      <c r="O28" s="9">
        <v>32.386405459999999</v>
      </c>
      <c r="P28" s="9">
        <v>1.1199999999999999E-8</v>
      </c>
      <c r="Q28" s="9">
        <v>1.5405149999999999E-3</v>
      </c>
      <c r="R28" s="9">
        <v>7.4530770999999996E-2</v>
      </c>
      <c r="S28" s="9">
        <v>31</v>
      </c>
      <c r="T28" s="9">
        <v>1</v>
      </c>
      <c r="U28" s="9">
        <v>14.40935842</v>
      </c>
      <c r="V28" s="9">
        <v>6.0935479739999998</v>
      </c>
      <c r="W28" s="9">
        <v>217153</v>
      </c>
      <c r="X28" s="9">
        <v>11.65010706</v>
      </c>
      <c r="Y28" s="9">
        <v>456</v>
      </c>
      <c r="Z28" s="9">
        <v>5.9769690710000001</v>
      </c>
      <c r="AA28" s="9">
        <v>659</v>
      </c>
      <c r="AB28" s="9">
        <v>20</v>
      </c>
      <c r="AC28" s="9">
        <v>0.76183162997499998</v>
      </c>
      <c r="AD28" s="9">
        <v>162.43862915039</v>
      </c>
      <c r="AE28" s="9">
        <v>11.4648170471191</v>
      </c>
      <c r="AF28" s="9">
        <v>-1322.6517974336</v>
      </c>
      <c r="AG28" s="9">
        <v>-1322.6517974336</v>
      </c>
      <c r="AH28" s="9">
        <v>26.689445919631599</v>
      </c>
      <c r="AI28" s="9">
        <v>-1322.6519980804701</v>
      </c>
      <c r="AJ28" s="10">
        <v>3.2044751914896198E-5</v>
      </c>
      <c r="AK28" s="9">
        <v>340</v>
      </c>
      <c r="AL28" s="9">
        <v>311</v>
      </c>
      <c r="AM28" s="9">
        <v>373</v>
      </c>
      <c r="AN28" s="9">
        <v>3.0517864024605501</v>
      </c>
      <c r="AO28" s="9">
        <v>3.6653889406745201</v>
      </c>
      <c r="AP28" s="9">
        <f t="shared" si="0"/>
        <v>0.5641200651508157</v>
      </c>
      <c r="AQ28" s="9">
        <v>0.10462597236282099</v>
      </c>
      <c r="AR28" s="9">
        <v>11.4648170471191</v>
      </c>
      <c r="AS28" s="9">
        <v>2.5533895556434798</v>
      </c>
      <c r="AT28" s="9">
        <v>3.6729410933212301</v>
      </c>
      <c r="AU28" s="9">
        <v>2.8052042041607699</v>
      </c>
      <c r="AV28" s="9">
        <f t="shared" si="1"/>
        <v>0.44796448110456294</v>
      </c>
      <c r="AW28" s="9">
        <v>4.8396038043662299</v>
      </c>
      <c r="AX28" s="9">
        <f t="shared" si="2"/>
        <v>0.68480980945011316</v>
      </c>
      <c r="AY28" s="9">
        <v>8.0072598648312995E-2</v>
      </c>
      <c r="AZ28" s="9">
        <v>0.13814311716383501</v>
      </c>
      <c r="BA28" s="9">
        <v>11.4648170471191</v>
      </c>
      <c r="BB28" s="9">
        <v>11.4648170471191</v>
      </c>
      <c r="BC28" s="9" t="s">
        <v>160</v>
      </c>
      <c r="BD28" s="9" t="s">
        <v>160</v>
      </c>
    </row>
    <row r="29" spans="1:56" ht="31.5" x14ac:dyDescent="0.25">
      <c r="A29" s="6" t="s">
        <v>146</v>
      </c>
      <c r="B29" s="25" t="s">
        <v>162</v>
      </c>
      <c r="C29" s="7" t="s">
        <v>242</v>
      </c>
      <c r="D29" s="8" t="s">
        <v>161</v>
      </c>
      <c r="E29" s="9">
        <v>1</v>
      </c>
      <c r="F29" s="9">
        <v>5</v>
      </c>
      <c r="G29" s="9">
        <v>14</v>
      </c>
      <c r="H29" s="9">
        <v>18</v>
      </c>
      <c r="I29" s="9">
        <v>7.1180367691694002</v>
      </c>
      <c r="J29" s="9">
        <v>5264</v>
      </c>
      <c r="K29" s="9">
        <v>2224</v>
      </c>
      <c r="L29" s="9">
        <v>4512</v>
      </c>
      <c r="M29" s="9">
        <v>1052.9479699999999</v>
      </c>
      <c r="N29" s="9">
        <v>111.2120834</v>
      </c>
      <c r="O29" s="9">
        <v>34.236457440000002</v>
      </c>
      <c r="P29" s="9">
        <v>1.15E-8</v>
      </c>
      <c r="Q29" s="9">
        <v>1.3119274E-2</v>
      </c>
      <c r="R29" s="9">
        <v>0.37380165700000001</v>
      </c>
      <c r="S29" s="9">
        <v>14</v>
      </c>
      <c r="T29" s="9">
        <v>1</v>
      </c>
      <c r="U29" s="9">
        <v>7.4516928160000004</v>
      </c>
      <c r="V29" s="9">
        <v>2.71672862</v>
      </c>
      <c r="W29" s="9">
        <v>8478</v>
      </c>
      <c r="X29" s="9">
        <v>6.4779894100000002</v>
      </c>
      <c r="Y29" s="9">
        <v>105</v>
      </c>
      <c r="Z29" s="9">
        <v>4.5815266140000004</v>
      </c>
      <c r="AA29" s="9">
        <v>140</v>
      </c>
      <c r="AB29" s="9">
        <v>14</v>
      </c>
      <c r="AC29" s="9">
        <v>5.5828214033333302E-3</v>
      </c>
      <c r="AD29" s="9">
        <v>153.82751464843699</v>
      </c>
      <c r="AE29" s="9">
        <v>0.81782150268554599</v>
      </c>
      <c r="AF29" s="9">
        <v>-1322.55720675008</v>
      </c>
      <c r="AG29" s="9">
        <v>-1322.55720675008</v>
      </c>
      <c r="AH29" s="9">
        <v>0.146151836254444</v>
      </c>
      <c r="AI29" s="9">
        <v>-1322.55739550674</v>
      </c>
      <c r="AJ29" s="10">
        <v>2.7550128577084E-5</v>
      </c>
      <c r="AK29" s="9">
        <v>73</v>
      </c>
      <c r="AL29" s="9">
        <v>65</v>
      </c>
      <c r="AM29" s="9">
        <v>81</v>
      </c>
      <c r="AN29" s="9">
        <v>0.22235565243935099</v>
      </c>
      <c r="AO29" s="9">
        <v>2.0719952217272301E-2</v>
      </c>
      <c r="AP29" s="9">
        <f t="shared" si="0"/>
        <v>-1.6836112504615004</v>
      </c>
      <c r="AQ29" s="9">
        <v>7.9147683449727504E-4</v>
      </c>
      <c r="AR29" s="9">
        <v>0.81782150268554599</v>
      </c>
      <c r="AS29" s="9">
        <v>0.17629060453298101</v>
      </c>
      <c r="AT29" s="9">
        <v>0.273761575465299</v>
      </c>
      <c r="AU29" s="9">
        <v>1.46271676499186E-2</v>
      </c>
      <c r="AV29" s="9">
        <f t="shared" si="1"/>
        <v>-1.834839760894303</v>
      </c>
      <c r="AW29" s="9">
        <v>2.8305786447120299E-2</v>
      </c>
      <c r="AX29" s="9">
        <f t="shared" si="2"/>
        <v>-1.5481247741869193</v>
      </c>
      <c r="AY29" s="9">
        <v>5.5873991541195895E-4</v>
      </c>
      <c r="AZ29" s="9">
        <v>1.08124642471168E-3</v>
      </c>
      <c r="BA29" s="9">
        <v>0.81782150268554599</v>
      </c>
      <c r="BB29" s="9">
        <v>0.81782150268554599</v>
      </c>
      <c r="BC29" s="9" t="s">
        <v>163</v>
      </c>
      <c r="BD29" s="9" t="s">
        <v>163</v>
      </c>
    </row>
    <row r="30" spans="1:56" ht="31.5" x14ac:dyDescent="0.25">
      <c r="A30" s="6" t="s">
        <v>146</v>
      </c>
      <c r="B30" s="25" t="s">
        <v>162</v>
      </c>
      <c r="C30" s="7" t="s">
        <v>243</v>
      </c>
      <c r="D30" s="8" t="s">
        <v>164</v>
      </c>
      <c r="E30" s="9">
        <v>1</v>
      </c>
      <c r="F30" s="9">
        <v>5</v>
      </c>
      <c r="G30" s="9">
        <v>31</v>
      </c>
      <c r="H30" s="9">
        <v>50</v>
      </c>
      <c r="I30" s="9">
        <v>12.334484537344499</v>
      </c>
      <c r="J30" s="9">
        <v>121657</v>
      </c>
      <c r="K30" s="9">
        <v>27055</v>
      </c>
      <c r="L30" s="9">
        <v>100938.93550000001</v>
      </c>
      <c r="M30" s="9">
        <v>28492.600450000002</v>
      </c>
      <c r="N30" s="9">
        <v>333.3344859</v>
      </c>
      <c r="O30" s="9">
        <v>32.491765049999998</v>
      </c>
      <c r="P30" s="9">
        <v>1.02E-8</v>
      </c>
      <c r="Q30" s="9">
        <v>1.5350279999999999E-3</v>
      </c>
      <c r="R30" s="9">
        <v>7.4609192000000005E-2</v>
      </c>
      <c r="S30" s="9">
        <v>31</v>
      </c>
      <c r="T30" s="9">
        <v>1</v>
      </c>
      <c r="U30" s="9">
        <v>14.40975446</v>
      </c>
      <c r="V30" s="9">
        <v>6.093564432</v>
      </c>
      <c r="W30" s="9">
        <v>217153</v>
      </c>
      <c r="X30" s="9">
        <v>11.65010706</v>
      </c>
      <c r="Y30" s="9">
        <v>455</v>
      </c>
      <c r="Z30" s="9">
        <v>5.9416134950000004</v>
      </c>
      <c r="AA30" s="9">
        <v>544</v>
      </c>
      <c r="AB30" s="9">
        <v>17</v>
      </c>
      <c r="AC30" s="9">
        <v>0.304339060005277</v>
      </c>
      <c r="AD30" s="9">
        <v>159.277484893798</v>
      </c>
      <c r="AE30" s="9">
        <v>8.40496826171875</v>
      </c>
      <c r="AF30" s="9">
        <v>-1322.65676710246</v>
      </c>
      <c r="AG30" s="9">
        <v>-1322.65676710246</v>
      </c>
      <c r="AH30" s="9">
        <v>10.667275198746299</v>
      </c>
      <c r="AI30" s="9">
        <v>-1322.65692896071</v>
      </c>
      <c r="AJ30" s="10">
        <v>1.33457752248848E-5</v>
      </c>
      <c r="AK30" s="9">
        <v>237</v>
      </c>
      <c r="AL30" s="9">
        <v>218</v>
      </c>
      <c r="AM30" s="9">
        <v>258</v>
      </c>
      <c r="AN30" s="9">
        <v>1.59527283700692</v>
      </c>
      <c r="AO30" s="9">
        <v>0.88206753573766405</v>
      </c>
      <c r="AP30" s="9">
        <f t="shared" si="0"/>
        <v>-5.4498161721553057E-2</v>
      </c>
      <c r="AQ30" s="9">
        <v>2.51655272490879E-2</v>
      </c>
      <c r="AR30" s="9">
        <v>8.40496826171875</v>
      </c>
      <c r="AS30" s="9">
        <v>1.3497435650611</v>
      </c>
      <c r="AT30" s="9">
        <v>1.89050439072315</v>
      </c>
      <c r="AU30" s="9">
        <v>0.68647745842887598</v>
      </c>
      <c r="AV30" s="9">
        <f t="shared" si="1"/>
        <v>-0.16337371893805003</v>
      </c>
      <c r="AW30" s="9">
        <v>1.1379309720146999</v>
      </c>
      <c r="AX30" s="9">
        <f t="shared" si="2"/>
        <v>5.6115918137825821E-2</v>
      </c>
      <c r="AY30" s="9">
        <v>1.9585311199021901E-2</v>
      </c>
      <c r="AZ30" s="9">
        <v>3.2465351828041701E-2</v>
      </c>
      <c r="BA30" s="9">
        <v>8.40496826171875</v>
      </c>
      <c r="BB30" s="9">
        <v>8.40496826171875</v>
      </c>
      <c r="BC30" s="9" t="s">
        <v>165</v>
      </c>
      <c r="BD30" s="9" t="s">
        <v>165</v>
      </c>
    </row>
    <row r="31" spans="1:56" ht="31.5" x14ac:dyDescent="0.25">
      <c r="A31" s="6" t="s">
        <v>19</v>
      </c>
      <c r="B31" s="25" t="s">
        <v>20</v>
      </c>
      <c r="C31" s="7" t="s">
        <v>244</v>
      </c>
      <c r="D31" s="8" t="s">
        <v>18</v>
      </c>
      <c r="E31" s="9">
        <v>-1</v>
      </c>
      <c r="F31" s="9">
        <v>1</v>
      </c>
      <c r="G31" s="9">
        <v>31</v>
      </c>
      <c r="H31" s="9">
        <v>46</v>
      </c>
      <c r="I31" s="9">
        <v>14.436707087323599</v>
      </c>
      <c r="J31" s="9">
        <v>121663</v>
      </c>
      <c r="K31" s="9">
        <v>27059</v>
      </c>
      <c r="L31" s="9">
        <v>100947.19349999999</v>
      </c>
      <c r="M31" s="9">
        <v>28493.710319999998</v>
      </c>
      <c r="N31" s="9">
        <v>272.778886</v>
      </c>
      <c r="O31" s="9">
        <v>1.9500777650000001</v>
      </c>
      <c r="P31" s="9">
        <v>1.31E-8</v>
      </c>
      <c r="Q31" s="9">
        <v>1.2560379999999999E-3</v>
      </c>
      <c r="R31" s="9">
        <v>1.9213218000000001E-2</v>
      </c>
      <c r="S31" s="9">
        <v>31</v>
      </c>
      <c r="T31" s="9">
        <v>1</v>
      </c>
      <c r="U31" s="9">
        <v>14.40947351</v>
      </c>
      <c r="V31" s="9">
        <v>6.0937039989999997</v>
      </c>
      <c r="W31" s="9">
        <v>217175</v>
      </c>
      <c r="X31" s="9">
        <v>13.79401363</v>
      </c>
      <c r="Y31" s="9">
        <v>446</v>
      </c>
      <c r="Z31" s="9">
        <v>4.6558890340000003</v>
      </c>
      <c r="AA31" s="9">
        <v>659</v>
      </c>
      <c r="AB31" s="9">
        <v>30</v>
      </c>
      <c r="AC31" s="9">
        <v>0.48396830999000001</v>
      </c>
      <c r="AD31" s="9">
        <v>132.496067047119</v>
      </c>
      <c r="AE31" s="9">
        <v>11.648719787597599</v>
      </c>
      <c r="AF31" s="9">
        <v>-4800.6491188077598</v>
      </c>
      <c r="AG31" s="9">
        <v>-4800.6491188077598</v>
      </c>
      <c r="AH31" s="9">
        <v>16.468572470588899</v>
      </c>
      <c r="AI31" s="9">
        <v>-4800.6494875899498</v>
      </c>
      <c r="AJ31" s="9">
        <v>1.7246667863000001E-4</v>
      </c>
      <c r="AK31" s="9">
        <v>325</v>
      </c>
      <c r="AL31" s="9">
        <v>304</v>
      </c>
      <c r="AM31" s="9">
        <v>349</v>
      </c>
      <c r="AN31" s="9">
        <v>2.8331795025916402</v>
      </c>
      <c r="AO31" s="9">
        <v>1.97537609760479</v>
      </c>
      <c r="AP31" s="9">
        <f t="shared" si="0"/>
        <v>0.29564979442542394</v>
      </c>
      <c r="AQ31" s="9">
        <v>5.8051141546104197E-2</v>
      </c>
      <c r="AR31" s="9">
        <v>11.648719787597599</v>
      </c>
      <c r="AS31" s="9">
        <v>2.4788744796355902</v>
      </c>
      <c r="AT31" s="9">
        <v>3.2670683701317298</v>
      </c>
      <c r="AU31" s="9">
        <v>1.61666658638123</v>
      </c>
      <c r="AV31" s="9">
        <f t="shared" si="1"/>
        <v>0.20862046231506121</v>
      </c>
      <c r="AW31" s="9">
        <v>2.4461100522810901</v>
      </c>
      <c r="AX31" s="9">
        <f t="shared" si="2"/>
        <v>0.3884759923663394</v>
      </c>
      <c r="AY31" s="9">
        <v>4.7509606374537799E-2</v>
      </c>
      <c r="AZ31" s="9">
        <v>7.1884782373593303E-2</v>
      </c>
      <c r="BA31" s="9">
        <v>11.648719787597599</v>
      </c>
      <c r="BB31" s="9">
        <v>11.648719787597599</v>
      </c>
      <c r="BC31" s="9" t="s">
        <v>21</v>
      </c>
      <c r="BD31" s="9" t="s">
        <v>21</v>
      </c>
    </row>
    <row r="32" spans="1:56" ht="31.5" x14ac:dyDescent="0.25">
      <c r="A32" s="6" t="s">
        <v>19</v>
      </c>
      <c r="B32" s="25" t="s">
        <v>23</v>
      </c>
      <c r="C32" s="7" t="s">
        <v>245</v>
      </c>
      <c r="D32" s="8" t="s">
        <v>22</v>
      </c>
      <c r="E32" s="9">
        <v>1</v>
      </c>
      <c r="F32" s="9">
        <v>2</v>
      </c>
      <c r="G32" s="9">
        <v>46</v>
      </c>
      <c r="H32" s="9">
        <v>57</v>
      </c>
      <c r="I32" s="9">
        <v>25.4727887675256</v>
      </c>
      <c r="J32" s="9">
        <v>579780</v>
      </c>
      <c r="K32" s="9">
        <v>90966</v>
      </c>
      <c r="L32" s="9">
        <v>475929.60869999998</v>
      </c>
      <c r="M32" s="9">
        <v>141516.83309999999</v>
      </c>
      <c r="N32" s="9">
        <v>621.66263200000003</v>
      </c>
      <c r="O32" s="9">
        <v>1.6191953939999999</v>
      </c>
      <c r="P32" s="9">
        <v>1E-8</v>
      </c>
      <c r="Q32" s="9">
        <v>5.8065999999999999E-4</v>
      </c>
      <c r="R32" s="9">
        <v>8.5459379999999995E-3</v>
      </c>
      <c r="S32" s="9">
        <v>46</v>
      </c>
      <c r="T32" s="9">
        <v>1</v>
      </c>
      <c r="U32" s="9">
        <v>20.448810170000002</v>
      </c>
      <c r="V32" s="9">
        <v>9.0931100610000009</v>
      </c>
      <c r="W32" s="9">
        <v>1070614</v>
      </c>
      <c r="X32" s="9">
        <v>24.900175699999998</v>
      </c>
      <c r="Y32" s="9">
        <v>771</v>
      </c>
      <c r="Z32" s="9">
        <v>7.3836508920000004</v>
      </c>
      <c r="AA32" s="9">
        <v>878</v>
      </c>
      <c r="AB32" s="9">
        <v>51</v>
      </c>
      <c r="AC32" s="9">
        <v>5.1956464069855501</v>
      </c>
      <c r="AD32" s="9">
        <v>199.025131225585</v>
      </c>
      <c r="AE32" s="9">
        <v>44.413341522216797</v>
      </c>
      <c r="AF32" s="9">
        <v>-1647.1586595737799</v>
      </c>
      <c r="AG32" s="9">
        <v>-1647.1586595737799</v>
      </c>
      <c r="AH32" s="9">
        <v>178.18088559047499</v>
      </c>
      <c r="AI32" s="9">
        <v>-1647.17416687163</v>
      </c>
      <c r="AJ32" s="9">
        <v>3.9377424803609999E-2</v>
      </c>
      <c r="AK32" s="9">
        <v>8389</v>
      </c>
      <c r="AL32" s="9">
        <v>7306</v>
      </c>
      <c r="AM32" s="9">
        <v>9668</v>
      </c>
      <c r="AN32" s="9">
        <v>4054.5700342835398</v>
      </c>
      <c r="AO32" s="9">
        <v>155420.44517819199</v>
      </c>
      <c r="AP32" s="9">
        <f t="shared" si="0"/>
        <v>5.1915081485963261</v>
      </c>
      <c r="AQ32" s="9">
        <v>4531.9657879472197</v>
      </c>
      <c r="AR32" s="9">
        <v>4054.5700342835398</v>
      </c>
      <c r="AS32" s="9">
        <v>3075.2735525923099</v>
      </c>
      <c r="AT32" s="9">
        <v>5385.1487132565999</v>
      </c>
      <c r="AU32" s="9">
        <v>102663.618882939</v>
      </c>
      <c r="AV32" s="9">
        <f t="shared" si="1"/>
        <v>5.0114165690343313</v>
      </c>
      <c r="AW32" s="9">
        <v>237896.19214483901</v>
      </c>
      <c r="AX32" s="9">
        <f t="shared" si="2"/>
        <v>5.3763874906134772</v>
      </c>
      <c r="AY32" s="9">
        <v>2993.6087746428402</v>
      </c>
      <c r="AZ32" s="9">
        <v>6936.9084784644901</v>
      </c>
      <c r="BA32" s="9">
        <v>3075.2735525923099</v>
      </c>
      <c r="BB32" s="9">
        <v>5385.1487132565999</v>
      </c>
      <c r="BC32" s="9" t="s">
        <v>24</v>
      </c>
      <c r="BD32" s="9" t="s">
        <v>24</v>
      </c>
    </row>
    <row r="33" spans="1:56" ht="31.5" x14ac:dyDescent="0.25">
      <c r="A33" s="6" t="s">
        <v>19</v>
      </c>
      <c r="B33" s="25" t="s">
        <v>26</v>
      </c>
      <c r="C33" s="7" t="s">
        <v>246</v>
      </c>
      <c r="D33" s="8" t="s">
        <v>25</v>
      </c>
      <c r="E33" s="9">
        <v>0</v>
      </c>
      <c r="F33" s="9">
        <v>1</v>
      </c>
      <c r="G33" s="9">
        <v>46</v>
      </c>
      <c r="H33" s="9">
        <v>58</v>
      </c>
      <c r="I33" s="9">
        <v>25.253428818313001</v>
      </c>
      <c r="J33" s="9">
        <v>547958</v>
      </c>
      <c r="K33" s="9">
        <v>84412</v>
      </c>
      <c r="L33" s="9">
        <v>448545.86959999998</v>
      </c>
      <c r="M33" s="9">
        <v>132742.71239999999</v>
      </c>
      <c r="N33" s="9">
        <v>584.64545959999998</v>
      </c>
      <c r="O33" s="9">
        <v>1.665987396</v>
      </c>
      <c r="P33" s="9">
        <v>1E-8</v>
      </c>
      <c r="Q33" s="9">
        <v>5.7927E-4</v>
      </c>
      <c r="R33" s="9">
        <v>9.0137810000000002E-3</v>
      </c>
      <c r="S33" s="9">
        <v>46</v>
      </c>
      <c r="T33" s="9">
        <v>1</v>
      </c>
      <c r="U33" s="9">
        <v>20.443415550000001</v>
      </c>
      <c r="V33" s="9">
        <v>9.1198876089999992</v>
      </c>
      <c r="W33" s="9">
        <v>1009280</v>
      </c>
      <c r="X33" s="9">
        <v>24.485924709999999</v>
      </c>
      <c r="Y33" s="9">
        <v>777</v>
      </c>
      <c r="Z33" s="9">
        <v>7.5752997469999999</v>
      </c>
      <c r="AA33" s="9">
        <v>1416</v>
      </c>
      <c r="AB33" s="9">
        <v>41</v>
      </c>
      <c r="AC33" s="9">
        <v>11.978220400457401</v>
      </c>
      <c r="AD33" s="9">
        <v>262.27330017089798</v>
      </c>
      <c r="AE33" s="9">
        <v>109.83698272705</v>
      </c>
      <c r="AF33" s="9">
        <v>-1647.34137554835</v>
      </c>
      <c r="AG33" s="9">
        <v>-1647.34137554835</v>
      </c>
      <c r="AH33" s="9">
        <v>413.89074054006699</v>
      </c>
      <c r="AI33" s="9">
        <v>-1647.3491358097001</v>
      </c>
      <c r="AJ33" s="9">
        <v>7.3405069596900003E-3</v>
      </c>
      <c r="AK33" s="9">
        <v>7302</v>
      </c>
      <c r="AL33" s="9">
        <v>6912</v>
      </c>
      <c r="AM33" s="9">
        <v>7717</v>
      </c>
      <c r="AN33" s="9">
        <v>2920.82639525683</v>
      </c>
      <c r="AO33" s="9">
        <v>56757.261956109498</v>
      </c>
      <c r="AP33" s="9">
        <f t="shared" si="0"/>
        <v>4.7540214363619926</v>
      </c>
      <c r="AQ33" s="9">
        <v>1642.5856547302101</v>
      </c>
      <c r="AR33" s="9">
        <v>2920.82639525683</v>
      </c>
      <c r="AS33" s="9">
        <v>2617.1556148556401</v>
      </c>
      <c r="AT33" s="9">
        <v>3262.2638823318598</v>
      </c>
      <c r="AU33" s="9">
        <v>48140.116720824997</v>
      </c>
      <c r="AV33" s="9">
        <f t="shared" si="1"/>
        <v>4.682507138933377</v>
      </c>
      <c r="AW33" s="9">
        <v>66994.854965670806</v>
      </c>
      <c r="AX33" s="9">
        <f t="shared" si="2"/>
        <v>4.8260414512707284</v>
      </c>
      <c r="AY33" s="9">
        <v>1393.2008419259801</v>
      </c>
      <c r="AZ33" s="9">
        <v>1938.86709673275</v>
      </c>
      <c r="BA33" s="9">
        <v>2617.1556148556401</v>
      </c>
      <c r="BB33" s="9">
        <v>3262.2638823318598</v>
      </c>
      <c r="BC33" s="9" t="s">
        <v>28</v>
      </c>
      <c r="BD33" s="9" t="s">
        <v>27</v>
      </c>
    </row>
    <row r="34" spans="1:56" ht="31.5" x14ac:dyDescent="0.25">
      <c r="A34" s="6" t="s">
        <v>19</v>
      </c>
      <c r="B34" s="25" t="s">
        <v>19</v>
      </c>
      <c r="C34" s="7" t="s">
        <v>247</v>
      </c>
      <c r="D34" s="8" t="s">
        <v>29</v>
      </c>
      <c r="E34" s="9">
        <v>0</v>
      </c>
      <c r="F34" s="9">
        <v>2</v>
      </c>
      <c r="G34" s="9">
        <v>30</v>
      </c>
      <c r="H34" s="9">
        <v>45</v>
      </c>
      <c r="I34" s="9">
        <v>13.7258633771521</v>
      </c>
      <c r="J34" s="9">
        <v>106854</v>
      </c>
      <c r="K34" s="9">
        <v>24442</v>
      </c>
      <c r="L34" s="9">
        <v>88748.266669999997</v>
      </c>
      <c r="M34" s="9">
        <v>24918.492569999999</v>
      </c>
      <c r="N34" s="9">
        <v>254.40466069999999</v>
      </c>
      <c r="O34" s="9">
        <v>2.0167652139999999</v>
      </c>
      <c r="P34" s="9">
        <v>1.09E-8</v>
      </c>
      <c r="Q34" s="9">
        <v>1.338218E-3</v>
      </c>
      <c r="R34" s="9">
        <v>2.1197880999999998E-2</v>
      </c>
      <c r="S34" s="9">
        <v>30</v>
      </c>
      <c r="T34" s="9">
        <v>1</v>
      </c>
      <c r="U34" s="9">
        <v>14.004997189999999</v>
      </c>
      <c r="V34" s="9">
        <v>5.8938167359999998</v>
      </c>
      <c r="W34" s="9">
        <v>190108</v>
      </c>
      <c r="X34" s="9">
        <v>13.534745920000001</v>
      </c>
      <c r="Y34" s="9">
        <v>417</v>
      </c>
      <c r="Z34" s="9">
        <v>4.4822799699999996</v>
      </c>
      <c r="AA34" s="9">
        <v>798</v>
      </c>
      <c r="AB34" s="9">
        <v>30</v>
      </c>
      <c r="AC34" s="9">
        <v>0.73409618982305502</v>
      </c>
      <c r="AD34" s="9">
        <v>137.38830184936501</v>
      </c>
      <c r="AE34" s="9">
        <v>16.821311950683501</v>
      </c>
      <c r="AF34" s="9">
        <v>-4800.6253584896904</v>
      </c>
      <c r="AG34" s="9">
        <v>-4800.6253584896904</v>
      </c>
      <c r="AH34" s="9">
        <v>24.992796520878901</v>
      </c>
      <c r="AI34" s="9">
        <v>-4800.62572354644</v>
      </c>
      <c r="AJ34" s="9">
        <v>2.1982675909000001E-4</v>
      </c>
      <c r="AK34" s="9">
        <v>393</v>
      </c>
      <c r="AL34" s="9">
        <v>352</v>
      </c>
      <c r="AM34" s="9">
        <v>439</v>
      </c>
      <c r="AN34" s="9">
        <v>4.0798029055582701</v>
      </c>
      <c r="AO34" s="9">
        <v>2.9852714700259302</v>
      </c>
      <c r="AP34" s="9">
        <f t="shared" si="0"/>
        <v>0.47498383046488224</v>
      </c>
      <c r="AQ34" s="9">
        <v>8.7684321756581099E-2</v>
      </c>
      <c r="AR34" s="9">
        <v>16.821311950683501</v>
      </c>
      <c r="AS34" s="9">
        <v>3.27295028915883</v>
      </c>
      <c r="AT34" s="9">
        <v>5.0907658564451399</v>
      </c>
      <c r="AU34" s="9">
        <v>2.1450339475709601</v>
      </c>
      <c r="AV34" s="9">
        <f t="shared" si="1"/>
        <v>0.3314341697729935</v>
      </c>
      <c r="AW34" s="9">
        <v>4.1610193947099301</v>
      </c>
      <c r="AX34" s="9">
        <f t="shared" si="2"/>
        <v>0.61919974006496625</v>
      </c>
      <c r="AY34" s="9">
        <v>6.3004604012099605E-2</v>
      </c>
      <c r="AZ34" s="9">
        <v>0.12221875534755</v>
      </c>
      <c r="BA34" s="9">
        <v>16.821311950683501</v>
      </c>
      <c r="BB34" s="9">
        <v>16.821311950683501</v>
      </c>
      <c r="BC34" s="9" t="s">
        <v>30</v>
      </c>
      <c r="BD34" s="9" t="s">
        <v>30</v>
      </c>
    </row>
    <row r="35" spans="1:56" ht="31.5" x14ac:dyDescent="0.25">
      <c r="A35" s="6" t="s">
        <v>32</v>
      </c>
      <c r="B35" s="25" t="s">
        <v>33</v>
      </c>
      <c r="C35" s="7" t="s">
        <v>248</v>
      </c>
      <c r="D35" s="8" t="s">
        <v>31</v>
      </c>
      <c r="E35" s="9">
        <v>-1</v>
      </c>
      <c r="F35" s="9">
        <v>4</v>
      </c>
      <c r="G35" s="9">
        <v>55</v>
      </c>
      <c r="H35" s="9">
        <v>73</v>
      </c>
      <c r="I35" s="9">
        <v>29.4118620307346</v>
      </c>
      <c r="J35" s="9">
        <v>1180013</v>
      </c>
      <c r="K35" s="9">
        <v>156409</v>
      </c>
      <c r="L35" s="9">
        <v>964777.14549999998</v>
      </c>
      <c r="M35" s="9">
        <v>292539.58370000002</v>
      </c>
      <c r="N35" s="9">
        <v>1099.1847479999999</v>
      </c>
      <c r="O35" s="9">
        <v>1.815601078</v>
      </c>
      <c r="P35" s="9">
        <v>1E-8</v>
      </c>
      <c r="Q35" s="9">
        <v>4.9839000000000003E-4</v>
      </c>
      <c r="R35" s="9">
        <v>6.7254059999999997E-3</v>
      </c>
      <c r="S35" s="9">
        <v>55</v>
      </c>
      <c r="T35" s="9">
        <v>1</v>
      </c>
      <c r="U35" s="9">
        <v>24.059607700000001</v>
      </c>
      <c r="V35" s="9">
        <v>10.888641120000001</v>
      </c>
      <c r="W35" s="9">
        <v>2205471</v>
      </c>
      <c r="X35" s="9">
        <v>28.861926260000001</v>
      </c>
      <c r="Y35" s="9">
        <v>837</v>
      </c>
      <c r="Z35" s="9">
        <v>5.7382517100000001</v>
      </c>
      <c r="AA35" s="9">
        <v>878</v>
      </c>
      <c r="AB35" s="9">
        <v>63</v>
      </c>
      <c r="AC35" s="9">
        <v>12.822955723705199</v>
      </c>
      <c r="AD35" s="9">
        <v>210.693626403808</v>
      </c>
      <c r="AE35" s="9">
        <v>55.956329345703097</v>
      </c>
      <c r="AF35" s="9">
        <v>-2928.5189813526599</v>
      </c>
      <c r="AG35" s="9">
        <v>-2928.5189813526599</v>
      </c>
      <c r="AH35" s="9">
        <v>457.617878159246</v>
      </c>
      <c r="AI35" s="9">
        <v>-2928.5338639096399</v>
      </c>
      <c r="AJ35" s="9">
        <v>7.7900559064599997E-3</v>
      </c>
      <c r="AK35" s="9">
        <v>5786</v>
      </c>
      <c r="AL35" s="9">
        <v>4706</v>
      </c>
      <c r="AM35" s="9">
        <v>7169</v>
      </c>
      <c r="AN35" s="9">
        <v>2430.0602668420402</v>
      </c>
      <c r="AO35" s="9">
        <v>130964.841990327</v>
      </c>
      <c r="AP35" s="9">
        <f t="shared" si="0"/>
        <v>5.1171547232976469</v>
      </c>
      <c r="AQ35" s="9">
        <v>3669.7787616147898</v>
      </c>
      <c r="AR35" s="9">
        <v>2430.0602668420402</v>
      </c>
      <c r="AS35" s="9">
        <v>1607.5483038298</v>
      </c>
      <c r="AT35" s="9">
        <v>3730.5884956670898</v>
      </c>
      <c r="AU35" s="9">
        <v>70465.283554359296</v>
      </c>
      <c r="AV35" s="9">
        <f t="shared" si="1"/>
        <v>4.847975203881763</v>
      </c>
      <c r="AW35" s="9">
        <v>249112.30288184201</v>
      </c>
      <c r="AX35" s="9">
        <f t="shared" si="2"/>
        <v>5.3963951765198646</v>
      </c>
      <c r="AY35" s="9">
        <v>1974.51466431006</v>
      </c>
      <c r="AZ35" s="9">
        <v>6980.4004225825302</v>
      </c>
      <c r="BA35" s="9">
        <v>1607.5483038298</v>
      </c>
      <c r="BB35" s="9">
        <v>3730.5884956670898</v>
      </c>
      <c r="BC35" s="9" t="s">
        <v>35</v>
      </c>
      <c r="BD35" s="9" t="s">
        <v>34</v>
      </c>
    </row>
    <row r="36" spans="1:56" ht="31.5" x14ac:dyDescent="0.25">
      <c r="A36" s="6" t="s">
        <v>32</v>
      </c>
      <c r="B36" s="25" t="s">
        <v>37</v>
      </c>
      <c r="C36" s="7" t="s">
        <v>249</v>
      </c>
      <c r="D36" s="8" t="s">
        <v>36</v>
      </c>
      <c r="E36" s="9">
        <v>-1</v>
      </c>
      <c r="F36" s="9">
        <v>2</v>
      </c>
      <c r="G36" s="9">
        <v>55</v>
      </c>
      <c r="H36" s="9">
        <v>73</v>
      </c>
      <c r="I36" s="9">
        <v>29.4118620307346</v>
      </c>
      <c r="J36" s="9">
        <v>1180651</v>
      </c>
      <c r="K36" s="9">
        <v>156975</v>
      </c>
      <c r="L36" s="9">
        <v>965377.43640000001</v>
      </c>
      <c r="M36" s="9">
        <v>292592.67070000002</v>
      </c>
      <c r="N36" s="9">
        <v>1290.8402470000001</v>
      </c>
      <c r="O36" s="9">
        <v>1.8439414190000001</v>
      </c>
      <c r="P36" s="9">
        <v>1E-8</v>
      </c>
      <c r="Q36" s="9">
        <v>5.8497200000000001E-4</v>
      </c>
      <c r="R36" s="9">
        <v>6.9080210000000003E-3</v>
      </c>
      <c r="S36" s="9">
        <v>55</v>
      </c>
      <c r="T36" s="9">
        <v>1</v>
      </c>
      <c r="U36" s="9">
        <v>24.061485860000001</v>
      </c>
      <c r="V36" s="9">
        <v>10.8905206</v>
      </c>
      <c r="W36" s="9">
        <v>2206671</v>
      </c>
      <c r="X36" s="9">
        <v>28.89610188</v>
      </c>
      <c r="Y36" s="9">
        <v>857</v>
      </c>
      <c r="Z36" s="9">
        <v>6.1975775259999999</v>
      </c>
      <c r="AA36" s="9">
        <v>725</v>
      </c>
      <c r="AB36" s="9">
        <v>83</v>
      </c>
      <c r="AC36" s="9">
        <v>11.0179808990002</v>
      </c>
      <c r="AD36" s="9">
        <v>195.89908218383701</v>
      </c>
      <c r="AE36" s="9">
        <v>40.944057464599602</v>
      </c>
      <c r="AF36" s="9">
        <v>-2928.4357478161301</v>
      </c>
      <c r="AG36" s="9">
        <v>-2928.4357478161301</v>
      </c>
      <c r="AH36" s="9">
        <v>391.80738794129701</v>
      </c>
      <c r="AI36" s="9">
        <v>-2928.45299516661</v>
      </c>
      <c r="AJ36" s="9">
        <v>5.8875507590159998E-2</v>
      </c>
      <c r="AK36" s="9">
        <v>5418</v>
      </c>
      <c r="AL36" s="9">
        <v>4693</v>
      </c>
      <c r="AM36" s="9">
        <v>6279</v>
      </c>
      <c r="AN36" s="9">
        <v>2286.6140429269099</v>
      </c>
      <c r="AO36" s="9">
        <v>163521.77896271201</v>
      </c>
      <c r="AP36" s="9">
        <f t="shared" si="0"/>
        <v>5.2135756031946308</v>
      </c>
      <c r="AQ36" s="9">
        <v>4598.38148190214</v>
      </c>
      <c r="AR36" s="9">
        <v>2286.6140429269099</v>
      </c>
      <c r="AS36" s="9">
        <v>1715.5997463413</v>
      </c>
      <c r="AT36" s="9">
        <v>3071.1132451732001</v>
      </c>
      <c r="AU36" s="9">
        <v>106269.89800154899</v>
      </c>
      <c r="AV36" s="9">
        <f t="shared" si="1"/>
        <v>5.026410263740666</v>
      </c>
      <c r="AW36" s="9">
        <v>254524.768012074</v>
      </c>
      <c r="AX36" s="9">
        <f t="shared" si="2"/>
        <v>5.4057300502782279</v>
      </c>
      <c r="AY36" s="9">
        <v>2988.40640160466</v>
      </c>
      <c r="AZ36" s="9">
        <v>7157.4684872957996</v>
      </c>
      <c r="BA36" s="9">
        <v>1715.5997463413</v>
      </c>
      <c r="BB36" s="9">
        <v>3071.1132451732001</v>
      </c>
      <c r="BC36" s="9" t="s">
        <v>39</v>
      </c>
      <c r="BD36" s="9" t="s">
        <v>38</v>
      </c>
    </row>
    <row r="37" spans="1:56" ht="31.5" x14ac:dyDescent="0.25">
      <c r="A37" s="6" t="s">
        <v>32</v>
      </c>
      <c r="B37" s="25" t="s">
        <v>41</v>
      </c>
      <c r="C37" s="7" t="s">
        <v>250</v>
      </c>
      <c r="D37" s="8" t="s">
        <v>40</v>
      </c>
      <c r="E37" s="9">
        <v>0</v>
      </c>
      <c r="F37" s="9">
        <v>1</v>
      </c>
      <c r="G37" s="9">
        <v>31</v>
      </c>
      <c r="H37" s="9">
        <v>44</v>
      </c>
      <c r="I37" s="9">
        <v>15.266956006299001</v>
      </c>
      <c r="J37" s="9">
        <v>121635</v>
      </c>
      <c r="K37" s="9">
        <v>27025</v>
      </c>
      <c r="L37" s="9">
        <v>100914.80650000001</v>
      </c>
      <c r="M37" s="9">
        <v>28489.899010000001</v>
      </c>
      <c r="N37" s="9">
        <v>284.3753926</v>
      </c>
      <c r="O37" s="9">
        <v>1.801642411</v>
      </c>
      <c r="P37" s="9">
        <v>1.0600000000000001E-8</v>
      </c>
      <c r="Q37" s="9">
        <v>1.309798E-3</v>
      </c>
      <c r="R37" s="9">
        <v>1.6526687000000002E-2</v>
      </c>
      <c r="S37" s="9">
        <v>31</v>
      </c>
      <c r="T37" s="9">
        <v>1</v>
      </c>
      <c r="U37" s="9">
        <v>14.40883131</v>
      </c>
      <c r="V37" s="9">
        <v>6.0932097150000004</v>
      </c>
      <c r="W37" s="9">
        <v>217115</v>
      </c>
      <c r="X37" s="9">
        <v>14.60898429</v>
      </c>
      <c r="Y37" s="9">
        <v>401</v>
      </c>
      <c r="Z37" s="9">
        <v>4.0450968530000004</v>
      </c>
      <c r="AA37" s="9">
        <v>725</v>
      </c>
      <c r="AB37" s="9">
        <v>28</v>
      </c>
      <c r="AC37" s="9">
        <v>0.55085754510999996</v>
      </c>
      <c r="AD37" s="9">
        <v>248.84694290161099</v>
      </c>
      <c r="AE37" s="9">
        <v>13.5557708740234</v>
      </c>
      <c r="AF37" s="9">
        <v>-2928.2709420793499</v>
      </c>
      <c r="AG37" s="9">
        <v>-2928.2709420793499</v>
      </c>
      <c r="AH37" s="9">
        <v>18.518676543982199</v>
      </c>
      <c r="AI37" s="9">
        <v>-2928.2712297334601</v>
      </c>
      <c r="AJ37" s="10">
        <v>9.8897313799999994E-6</v>
      </c>
      <c r="AK37" s="9">
        <v>330</v>
      </c>
      <c r="AL37" s="9">
        <v>312</v>
      </c>
      <c r="AM37" s="9">
        <v>348</v>
      </c>
      <c r="AN37" s="9">
        <v>2.8085107218666301</v>
      </c>
      <c r="AO37" s="9">
        <v>1.7463759667681999</v>
      </c>
      <c r="AP37" s="9">
        <f t="shared" si="0"/>
        <v>0.24213774607959171</v>
      </c>
      <c r="AQ37" s="9">
        <v>5.1947793116222697E-2</v>
      </c>
      <c r="AR37" s="9">
        <v>13.5557708740234</v>
      </c>
      <c r="AS37" s="9">
        <v>2.5104836336949998</v>
      </c>
      <c r="AT37" s="9">
        <v>3.12324960937499</v>
      </c>
      <c r="AU37" s="9">
        <v>1.47590943312001</v>
      </c>
      <c r="AV37" s="9">
        <f t="shared" si="1"/>
        <v>0.16905970850125518</v>
      </c>
      <c r="AW37" s="9">
        <v>2.04801747635207</v>
      </c>
      <c r="AX37" s="9">
        <f t="shared" si="2"/>
        <v>0.31133365828567028</v>
      </c>
      <c r="AY37" s="9">
        <v>4.3902481108855501E-2</v>
      </c>
      <c r="AZ37" s="9">
        <v>6.0920437628805099E-2</v>
      </c>
      <c r="BA37" s="9">
        <v>13.5557708740234</v>
      </c>
      <c r="BB37" s="9">
        <v>13.5557708740234</v>
      </c>
      <c r="BC37" s="9" t="s">
        <v>42</v>
      </c>
      <c r="BD37" s="9" t="s">
        <v>42</v>
      </c>
    </row>
    <row r="38" spans="1:56" ht="31.5" x14ac:dyDescent="0.25">
      <c r="A38" s="6" t="s">
        <v>32</v>
      </c>
      <c r="B38" s="25" t="s">
        <v>41</v>
      </c>
      <c r="C38" s="7" t="s">
        <v>251</v>
      </c>
      <c r="D38" s="8" t="s">
        <v>43</v>
      </c>
      <c r="E38" s="9">
        <v>0</v>
      </c>
      <c r="F38" s="9">
        <v>1</v>
      </c>
      <c r="G38" s="9">
        <v>45</v>
      </c>
      <c r="H38" s="9">
        <v>64</v>
      </c>
      <c r="I38" s="9">
        <v>22.462899865868199</v>
      </c>
      <c r="J38" s="9">
        <v>532333</v>
      </c>
      <c r="K38" s="9">
        <v>85145</v>
      </c>
      <c r="L38" s="9">
        <v>437189.53330000001</v>
      </c>
      <c r="M38" s="9">
        <v>129743.2199</v>
      </c>
      <c r="N38" s="9">
        <v>535.47647500000005</v>
      </c>
      <c r="O38" s="9">
        <v>2.1018190570000002</v>
      </c>
      <c r="P38" s="9">
        <v>1E-8</v>
      </c>
      <c r="Q38" s="9">
        <v>5.4569500000000001E-4</v>
      </c>
      <c r="R38" s="9">
        <v>1.1434626999999999E-2</v>
      </c>
      <c r="S38" s="9">
        <v>45</v>
      </c>
      <c r="T38" s="9">
        <v>1</v>
      </c>
      <c r="U38" s="9">
        <v>20.048945499999999</v>
      </c>
      <c r="V38" s="9">
        <v>8.8921253910000004</v>
      </c>
      <c r="W38" s="9">
        <v>981276</v>
      </c>
      <c r="X38" s="9">
        <v>21.726719599999999</v>
      </c>
      <c r="Y38" s="9">
        <v>728</v>
      </c>
      <c r="Z38" s="9">
        <v>4.758165763</v>
      </c>
      <c r="AA38" s="9">
        <v>966</v>
      </c>
      <c r="AB38" s="9">
        <v>28</v>
      </c>
      <c r="AC38" s="9">
        <v>3.7886037573116602</v>
      </c>
      <c r="AD38" s="9">
        <v>164.68105316162101</v>
      </c>
      <c r="AE38" s="9">
        <v>44.857711791992102</v>
      </c>
      <c r="AF38" s="9">
        <v>-2928.3045855574801</v>
      </c>
      <c r="AG38" s="9">
        <v>-2928.3045855574801</v>
      </c>
      <c r="AH38" s="9">
        <v>134.739691637031</v>
      </c>
      <c r="AI38" s="9">
        <v>-2928.3053927394699</v>
      </c>
      <c r="AJ38" s="9">
        <v>5.1312006526000003E-4</v>
      </c>
      <c r="AK38" s="9">
        <v>778</v>
      </c>
      <c r="AL38" s="9">
        <v>660</v>
      </c>
      <c r="AM38" s="9">
        <v>923</v>
      </c>
      <c r="AN38" s="9">
        <v>29.096587520526199</v>
      </c>
      <c r="AO38" s="9">
        <v>70.388702670034206</v>
      </c>
      <c r="AP38" s="9">
        <f t="shared" si="0"/>
        <v>1.8475029608214109</v>
      </c>
      <c r="AQ38" s="9">
        <v>1.9791859411877499</v>
      </c>
      <c r="AR38" s="9">
        <v>44.857711791992102</v>
      </c>
      <c r="AS38" s="9">
        <v>20.9397134633349</v>
      </c>
      <c r="AT38" s="9">
        <v>40.9530513110778</v>
      </c>
      <c r="AU38" s="9">
        <v>42.973029989806101</v>
      </c>
      <c r="AV38" s="9">
        <f t="shared" si="1"/>
        <v>1.6331959764779498</v>
      </c>
      <c r="AW38" s="9">
        <v>117.53555785224501</v>
      </c>
      <c r="AX38" s="9">
        <f t="shared" si="2"/>
        <v>2.0701692729300771</v>
      </c>
      <c r="AY38" s="9">
        <v>1.20831345911809</v>
      </c>
      <c r="AZ38" s="9">
        <v>3.3048588035684601</v>
      </c>
      <c r="BA38" s="9">
        <v>44.857711791992102</v>
      </c>
      <c r="BB38" s="9">
        <v>44.857711791992102</v>
      </c>
      <c r="BC38" s="10" t="s">
        <v>44</v>
      </c>
      <c r="BD38" s="10" t="s">
        <v>44</v>
      </c>
    </row>
    <row r="39" spans="1:56" ht="31.5" x14ac:dyDescent="0.25">
      <c r="A39" s="6" t="s">
        <v>32</v>
      </c>
      <c r="B39" s="25" t="s">
        <v>46</v>
      </c>
      <c r="C39" s="7" t="s">
        <v>252</v>
      </c>
      <c r="D39" s="8" t="s">
        <v>45</v>
      </c>
      <c r="E39" s="9">
        <v>-1</v>
      </c>
      <c r="F39" s="9">
        <v>4</v>
      </c>
      <c r="G39" s="9">
        <v>55</v>
      </c>
      <c r="H39" s="9">
        <v>73</v>
      </c>
      <c r="I39" s="9">
        <v>29.4118620307346</v>
      </c>
      <c r="J39" s="9">
        <v>1161321</v>
      </c>
      <c r="K39" s="9">
        <v>151049</v>
      </c>
      <c r="L39" s="9">
        <v>947959.69090000005</v>
      </c>
      <c r="M39" s="9">
        <v>288609.79609999998</v>
      </c>
      <c r="N39" s="9">
        <v>687.78415570000004</v>
      </c>
      <c r="O39" s="9">
        <v>1.6311662520000001</v>
      </c>
      <c r="P39" s="9">
        <v>1E-8</v>
      </c>
      <c r="Q39" s="9">
        <v>3.1704699999999999E-4</v>
      </c>
      <c r="R39" s="9">
        <v>6.131343E-3</v>
      </c>
      <c r="S39" s="9">
        <v>55</v>
      </c>
      <c r="T39" s="9">
        <v>1</v>
      </c>
      <c r="U39" s="9">
        <v>24.03389366</v>
      </c>
      <c r="V39" s="9">
        <v>10.885362750000001</v>
      </c>
      <c r="W39" s="9">
        <v>2169345</v>
      </c>
      <c r="X39" s="9">
        <v>28.861926260000001</v>
      </c>
      <c r="Y39" s="9">
        <v>748</v>
      </c>
      <c r="Z39" s="9">
        <v>3.655501734</v>
      </c>
      <c r="AA39" s="9">
        <v>599</v>
      </c>
      <c r="AB39" s="9">
        <v>64</v>
      </c>
      <c r="AC39" s="9">
        <v>5.36147692922611</v>
      </c>
      <c r="AD39" s="9">
        <v>184.67613220214801</v>
      </c>
      <c r="AE39" s="9">
        <v>29.3136901855468</v>
      </c>
      <c r="AF39" s="9">
        <v>-2928.4257039316199</v>
      </c>
      <c r="AG39" s="9">
        <v>-2928.4257039316199</v>
      </c>
      <c r="AH39" s="9">
        <v>182.86409964247099</v>
      </c>
      <c r="AI39" s="9">
        <v>-2928.43351150221</v>
      </c>
      <c r="AJ39" s="9">
        <v>3.4646221471899999E-3</v>
      </c>
      <c r="AK39" s="9">
        <v>2674</v>
      </c>
      <c r="AL39" s="9">
        <v>2458</v>
      </c>
      <c r="AM39" s="9">
        <v>2912</v>
      </c>
      <c r="AN39" s="9">
        <v>584.17054413212702</v>
      </c>
      <c r="AO39" s="9">
        <v>16267.926203096</v>
      </c>
      <c r="AP39" s="9">
        <f t="shared" si="0"/>
        <v>4.2113321936279959</v>
      </c>
      <c r="AQ39" s="9">
        <v>476.96683599887399</v>
      </c>
      <c r="AR39" s="9">
        <v>584.17054413212702</v>
      </c>
      <c r="AS39" s="9">
        <v>493.60619973241501</v>
      </c>
      <c r="AT39" s="9">
        <v>692.78677726302305</v>
      </c>
      <c r="AU39" s="9">
        <v>12635.5345762205</v>
      </c>
      <c r="AV39" s="9">
        <f t="shared" si="1"/>
        <v>4.1015936205014052</v>
      </c>
      <c r="AW39" s="9">
        <v>21009.808637983599</v>
      </c>
      <c r="AX39" s="9">
        <f t="shared" si="2"/>
        <v>4.3224220967730993</v>
      </c>
      <c r="AY39" s="9">
        <v>370.46706954124801</v>
      </c>
      <c r="AZ39" s="9">
        <v>615.99627548677404</v>
      </c>
      <c r="BA39" s="9">
        <v>493.60619973241501</v>
      </c>
      <c r="BB39" s="9">
        <v>692.78677726302305</v>
      </c>
      <c r="BC39" s="9" t="s">
        <v>48</v>
      </c>
      <c r="BD39" s="9" t="s">
        <v>47</v>
      </c>
    </row>
    <row r="40" spans="1:56" ht="31.5" x14ac:dyDescent="0.25">
      <c r="A40" s="6" t="s">
        <v>32</v>
      </c>
      <c r="B40" s="25" t="s">
        <v>46</v>
      </c>
      <c r="C40" s="7" t="s">
        <v>253</v>
      </c>
      <c r="D40" s="8" t="s">
        <v>49</v>
      </c>
      <c r="E40" s="9">
        <v>-1</v>
      </c>
      <c r="F40" s="9">
        <v>4</v>
      </c>
      <c r="G40" s="9">
        <v>69</v>
      </c>
      <c r="H40" s="9">
        <v>93</v>
      </c>
      <c r="I40" s="9">
        <v>36.698907333418397</v>
      </c>
      <c r="J40" s="9">
        <v>2878543</v>
      </c>
      <c r="K40" s="9">
        <v>308523</v>
      </c>
      <c r="L40" s="9">
        <v>2340308.7969999998</v>
      </c>
      <c r="M40" s="9">
        <v>724760.78949999996</v>
      </c>
      <c r="N40" s="9">
        <v>1181.589956</v>
      </c>
      <c r="O40" s="9">
        <v>2.3190250410000002</v>
      </c>
      <c r="P40" s="9">
        <v>1E-8</v>
      </c>
      <c r="Q40" s="9">
        <v>2.1692E-4</v>
      </c>
      <c r="R40" s="9">
        <v>5.6552479999999999E-3</v>
      </c>
      <c r="S40" s="9">
        <v>69</v>
      </c>
      <c r="T40" s="9">
        <v>1</v>
      </c>
      <c r="U40" s="9">
        <v>29.645181730000001</v>
      </c>
      <c r="V40" s="9">
        <v>13.67831084</v>
      </c>
      <c r="W40" s="9">
        <v>5447136</v>
      </c>
      <c r="X40" s="9">
        <v>36.132662320000001</v>
      </c>
      <c r="Y40" s="9">
        <v>1139</v>
      </c>
      <c r="Z40" s="9">
        <v>4.456051371</v>
      </c>
      <c r="AA40" s="9">
        <v>494</v>
      </c>
      <c r="AB40" s="9">
        <v>77</v>
      </c>
      <c r="AC40" s="9">
        <v>9.6345527733074992</v>
      </c>
      <c r="AD40" s="9">
        <v>191.616233825683</v>
      </c>
      <c r="AE40" s="9">
        <v>35.851261138916001</v>
      </c>
      <c r="AF40" s="9">
        <v>-2928.4598984515201</v>
      </c>
      <c r="AG40" s="9">
        <v>-2928.4598984515201</v>
      </c>
      <c r="AH40" s="9">
        <v>304.48298267687898</v>
      </c>
      <c r="AI40" s="9">
        <v>-2928.4779335939702</v>
      </c>
      <c r="AJ40" s="9">
        <v>1.317711496624E-2</v>
      </c>
      <c r="AK40" s="9">
        <v>4152</v>
      </c>
      <c r="AL40" s="9">
        <v>3949</v>
      </c>
      <c r="AM40" s="9">
        <v>4368</v>
      </c>
      <c r="AN40" s="9">
        <v>2532.59199177552</v>
      </c>
      <c r="AO40" s="9">
        <v>180781.59468380001</v>
      </c>
      <c r="AP40" s="9">
        <f t="shared" si="0"/>
        <v>5.2571542130079916</v>
      </c>
      <c r="AQ40" s="9">
        <v>5720.3519195426497</v>
      </c>
      <c r="AR40" s="9">
        <v>2532.59199177552</v>
      </c>
      <c r="AS40" s="9">
        <v>2290.9985117286001</v>
      </c>
      <c r="AT40" s="9">
        <v>2802.9528930325901</v>
      </c>
      <c r="AU40" s="9">
        <v>155540.53187256501</v>
      </c>
      <c r="AV40" s="9">
        <f t="shared" si="1"/>
        <v>5.1918435796964175</v>
      </c>
      <c r="AW40" s="9">
        <v>210489.32120077699</v>
      </c>
      <c r="AX40" s="9">
        <f t="shared" si="2"/>
        <v>5.3232300675768283</v>
      </c>
      <c r="AY40" s="9">
        <v>4921.6657349446896</v>
      </c>
      <c r="AZ40" s="9">
        <v>6660.37377687762</v>
      </c>
      <c r="BA40" s="9">
        <v>2290.9985117286001</v>
      </c>
      <c r="BB40" s="9">
        <v>2802.9528930325901</v>
      </c>
      <c r="BC40" s="9" t="s">
        <v>51</v>
      </c>
      <c r="BD40" s="9" t="s">
        <v>50</v>
      </c>
    </row>
    <row r="41" spans="1:56" ht="31.5" x14ac:dyDescent="0.25">
      <c r="A41" s="6" t="s">
        <v>32</v>
      </c>
      <c r="B41" s="25" t="s">
        <v>53</v>
      </c>
      <c r="C41" s="7" t="s">
        <v>254</v>
      </c>
      <c r="D41" s="8" t="s">
        <v>52</v>
      </c>
      <c r="E41" s="9">
        <v>0</v>
      </c>
      <c r="F41" s="9">
        <v>1</v>
      </c>
      <c r="G41" s="9">
        <v>31</v>
      </c>
      <c r="H41" s="9">
        <v>44</v>
      </c>
      <c r="I41" s="9">
        <v>15.266956006299001</v>
      </c>
      <c r="J41" s="9">
        <v>121655</v>
      </c>
      <c r="K41" s="9">
        <v>27057</v>
      </c>
      <c r="L41" s="9">
        <v>100942.93550000001</v>
      </c>
      <c r="M41" s="9">
        <v>28491.994210000001</v>
      </c>
      <c r="N41" s="9">
        <v>275.9435277</v>
      </c>
      <c r="O41" s="9">
        <v>1.8261104960000001</v>
      </c>
      <c r="P41" s="9">
        <v>1.1900000000000001E-8</v>
      </c>
      <c r="Q41" s="9">
        <v>1.2706690000000001E-3</v>
      </c>
      <c r="R41" s="9">
        <v>1.6842449999999998E-2</v>
      </c>
      <c r="S41" s="9">
        <v>31</v>
      </c>
      <c r="T41" s="9">
        <v>1</v>
      </c>
      <c r="U41" s="9">
        <v>14.4095292</v>
      </c>
      <c r="V41" s="9">
        <v>6.0937399320000001</v>
      </c>
      <c r="W41" s="9">
        <v>217165</v>
      </c>
      <c r="X41" s="9">
        <v>14.60898429</v>
      </c>
      <c r="Y41" s="9">
        <v>435</v>
      </c>
      <c r="Z41" s="9">
        <v>4.6056350909999999</v>
      </c>
      <c r="AA41" s="9">
        <v>544</v>
      </c>
      <c r="AB41" s="9">
        <v>30</v>
      </c>
      <c r="AC41" s="9">
        <v>0.326788148024444</v>
      </c>
      <c r="AD41" s="9">
        <v>129.626323699951</v>
      </c>
      <c r="AE41" s="9">
        <v>8.7081375122070295</v>
      </c>
      <c r="AF41" s="9">
        <v>-2928.2126815156198</v>
      </c>
      <c r="AG41" s="9">
        <v>-2928.2126815156198</v>
      </c>
      <c r="AH41" s="9">
        <v>11.3293795414636</v>
      </c>
      <c r="AI41" s="9">
        <v>-2928.2130466017302</v>
      </c>
      <c r="AJ41" s="9">
        <v>1.572955311E-4</v>
      </c>
      <c r="AK41" s="9">
        <v>264</v>
      </c>
      <c r="AL41" s="9">
        <v>242</v>
      </c>
      <c r="AM41" s="9">
        <v>288</v>
      </c>
      <c r="AN41" s="9">
        <v>2.0508567800158799</v>
      </c>
      <c r="AO41" s="9">
        <v>1.2948552074266499</v>
      </c>
      <c r="AP41" s="9">
        <f t="shared" si="0"/>
        <v>0.11222120769811406</v>
      </c>
      <c r="AQ41" s="9">
        <v>3.7349206427954001E-2</v>
      </c>
      <c r="AR41" s="9">
        <v>8.7081375122070295</v>
      </c>
      <c r="AS41" s="9">
        <v>1.72328937765223</v>
      </c>
      <c r="AT41" s="9">
        <v>2.44068906051477</v>
      </c>
      <c r="AU41" s="9">
        <v>0.99736821822041299</v>
      </c>
      <c r="AV41" s="9">
        <f t="shared" si="1"/>
        <v>-1.1444749700846525E-3</v>
      </c>
      <c r="AW41" s="9">
        <v>1.6810742287252101</v>
      </c>
      <c r="AX41" s="9">
        <f t="shared" si="2"/>
        <v>0.2255868903663141</v>
      </c>
      <c r="AY41" s="9">
        <v>2.8768399164124301E-2</v>
      </c>
      <c r="AZ41" s="9">
        <v>4.8489428029680398E-2</v>
      </c>
      <c r="BA41" s="9">
        <v>8.7081375122070295</v>
      </c>
      <c r="BB41" s="9">
        <v>8.7081375122070295</v>
      </c>
      <c r="BC41" s="9" t="s">
        <v>54</v>
      </c>
      <c r="BD41" s="9" t="s">
        <v>54</v>
      </c>
    </row>
    <row r="42" spans="1:56" ht="31.5" x14ac:dyDescent="0.25">
      <c r="A42" s="6" t="s">
        <v>32</v>
      </c>
      <c r="B42" s="25" t="s">
        <v>53</v>
      </c>
      <c r="C42" s="7" t="s">
        <v>255</v>
      </c>
      <c r="D42" s="8" t="s">
        <v>55</v>
      </c>
      <c r="E42" s="9">
        <v>0</v>
      </c>
      <c r="F42" s="9">
        <v>1</v>
      </c>
      <c r="G42" s="9">
        <v>45</v>
      </c>
      <c r="H42" s="9">
        <v>64</v>
      </c>
      <c r="I42" s="9">
        <v>22.462899865868199</v>
      </c>
      <c r="J42" s="9">
        <v>532619</v>
      </c>
      <c r="K42" s="9">
        <v>85231</v>
      </c>
      <c r="L42" s="9">
        <v>437464.42219999997</v>
      </c>
      <c r="M42" s="9">
        <v>129808.9871</v>
      </c>
      <c r="N42" s="9">
        <v>615.52170880000006</v>
      </c>
      <c r="O42" s="9">
        <v>2.1135773750000002</v>
      </c>
      <c r="P42" s="9">
        <v>1.0099999999999999E-8</v>
      </c>
      <c r="Q42" s="9">
        <v>6.2686999999999997E-4</v>
      </c>
      <c r="R42" s="9">
        <v>1.1690895999999999E-2</v>
      </c>
      <c r="S42" s="9">
        <v>45</v>
      </c>
      <c r="T42" s="9">
        <v>1</v>
      </c>
      <c r="U42" s="9">
        <v>20.048843210000001</v>
      </c>
      <c r="V42" s="9">
        <v>8.8927681720000002</v>
      </c>
      <c r="W42" s="9">
        <v>981898</v>
      </c>
      <c r="X42" s="9">
        <v>21.726719599999999</v>
      </c>
      <c r="Y42" s="9">
        <v>771</v>
      </c>
      <c r="Z42" s="9">
        <v>5.3879699470000002</v>
      </c>
      <c r="AA42" s="9">
        <v>966</v>
      </c>
      <c r="AB42" s="9">
        <v>30</v>
      </c>
      <c r="AC42" s="9">
        <v>4.3411736308294397</v>
      </c>
      <c r="AD42" s="9">
        <v>164.184337615966</v>
      </c>
      <c r="AE42" s="9">
        <v>44.057628631591797</v>
      </c>
      <c r="AF42" s="9">
        <v>-2928.2630970887599</v>
      </c>
      <c r="AG42" s="9">
        <v>-2928.2630970887599</v>
      </c>
      <c r="AH42" s="9">
        <v>152.445631396902</v>
      </c>
      <c r="AI42" s="9">
        <v>-2928.2646178975001</v>
      </c>
      <c r="AJ42" s="9">
        <v>4.1415756161E-4</v>
      </c>
      <c r="AK42" s="9">
        <v>1299</v>
      </c>
      <c r="AL42" s="9">
        <v>1217</v>
      </c>
      <c r="AM42" s="9">
        <v>1387</v>
      </c>
      <c r="AN42" s="9">
        <v>79.668229760700896</v>
      </c>
      <c r="AO42" s="9">
        <v>370.69015962780901</v>
      </c>
      <c r="AP42" s="9">
        <f t="shared" si="0"/>
        <v>2.5690110573646976</v>
      </c>
      <c r="AQ42" s="9">
        <v>10.556093549145199</v>
      </c>
      <c r="AR42" s="9">
        <v>79.668229760700896</v>
      </c>
      <c r="AS42" s="9">
        <v>69.927503153101497</v>
      </c>
      <c r="AT42" s="9">
        <v>90.828007508893194</v>
      </c>
      <c r="AU42" s="9">
        <v>304.82833844012299</v>
      </c>
      <c r="AV42" s="9">
        <f t="shared" si="1"/>
        <v>2.4840553388358084</v>
      </c>
      <c r="AW42" s="9">
        <v>451.24560742321103</v>
      </c>
      <c r="AX42" s="9">
        <f t="shared" si="2"/>
        <v>2.6544129873654692</v>
      </c>
      <c r="AY42" s="9">
        <v>8.6805553733480796</v>
      </c>
      <c r="AZ42" s="9">
        <v>12.850060142904599</v>
      </c>
      <c r="BA42" s="9">
        <v>69.927503153101497</v>
      </c>
      <c r="BB42" s="9">
        <v>90.828007508893194</v>
      </c>
      <c r="BC42" s="9" t="s">
        <v>56</v>
      </c>
      <c r="BD42" s="9" t="s">
        <v>56</v>
      </c>
    </row>
    <row r="43" spans="1:56" ht="31.5" x14ac:dyDescent="0.25">
      <c r="A43" s="6" t="s">
        <v>32</v>
      </c>
      <c r="B43" s="25" t="s">
        <v>58</v>
      </c>
      <c r="C43" s="7" t="s">
        <v>256</v>
      </c>
      <c r="D43" s="8" t="s">
        <v>57</v>
      </c>
      <c r="E43" s="9">
        <v>0</v>
      </c>
      <c r="F43" s="9">
        <v>1</v>
      </c>
      <c r="G43" s="9">
        <v>31</v>
      </c>
      <c r="H43" s="9">
        <v>44</v>
      </c>
      <c r="I43" s="9">
        <v>15.266956006299001</v>
      </c>
      <c r="J43" s="9">
        <v>121665</v>
      </c>
      <c r="K43" s="9">
        <v>27057</v>
      </c>
      <c r="L43" s="9">
        <v>100947.4516</v>
      </c>
      <c r="M43" s="9">
        <v>28494.270120000001</v>
      </c>
      <c r="N43" s="9">
        <v>328.1939835</v>
      </c>
      <c r="O43" s="9">
        <v>1.7140594069999999</v>
      </c>
      <c r="P43" s="9">
        <v>1.02E-8</v>
      </c>
      <c r="Q43" s="9">
        <v>1.511217E-3</v>
      </c>
      <c r="R43" s="9">
        <v>1.6330577999999998E-2</v>
      </c>
      <c r="S43" s="9">
        <v>31</v>
      </c>
      <c r="T43" s="9">
        <v>1</v>
      </c>
      <c r="U43" s="9">
        <v>14.40964305</v>
      </c>
      <c r="V43" s="9">
        <v>6.0936512709999997</v>
      </c>
      <c r="W43" s="9">
        <v>217173</v>
      </c>
      <c r="X43" s="9">
        <v>14.60898429</v>
      </c>
      <c r="Y43" s="9">
        <v>441</v>
      </c>
      <c r="Z43" s="9">
        <v>4.970866998</v>
      </c>
      <c r="AA43" s="9">
        <v>1287</v>
      </c>
      <c r="AB43" s="9">
        <v>19</v>
      </c>
      <c r="AC43" s="9">
        <v>1.5080977316408299</v>
      </c>
      <c r="AD43" s="9">
        <v>156.40447998046801</v>
      </c>
      <c r="AE43" s="9">
        <v>36.502021789550703</v>
      </c>
      <c r="AF43" s="9">
        <v>-2928.2795610133298</v>
      </c>
      <c r="AG43" s="9">
        <v>-2928.2795610133298</v>
      </c>
      <c r="AH43" s="9">
        <v>51.702418031841702</v>
      </c>
      <c r="AI43" s="9">
        <v>-2928.2798977254902</v>
      </c>
      <c r="AJ43" s="9">
        <v>1.6852540238E-4</v>
      </c>
      <c r="AK43" s="9">
        <v>620</v>
      </c>
      <c r="AL43" s="9">
        <v>608</v>
      </c>
      <c r="AM43" s="9">
        <v>633</v>
      </c>
      <c r="AN43" s="9">
        <v>8.4711662533549692</v>
      </c>
      <c r="AO43" s="9">
        <v>5.7802987152704999</v>
      </c>
      <c r="AP43" s="9">
        <f t="shared" si="0"/>
        <v>0.76195028254535013</v>
      </c>
      <c r="AQ43" s="9">
        <v>0.16860440405973301</v>
      </c>
      <c r="AR43" s="9">
        <v>36.502021789550703</v>
      </c>
      <c r="AS43" s="9">
        <v>8.1464235220608998</v>
      </c>
      <c r="AT43" s="9">
        <v>8.8301330252095394</v>
      </c>
      <c r="AU43" s="9">
        <v>5.4511226264782398</v>
      </c>
      <c r="AV43" s="9">
        <f t="shared" si="1"/>
        <v>0.73648595186879318</v>
      </c>
      <c r="AW43" s="9">
        <v>6.1515752947503897</v>
      </c>
      <c r="AX43" s="9">
        <f t="shared" si="2"/>
        <v>0.78898634410265334</v>
      </c>
      <c r="AY43" s="9">
        <v>0.159002731029425</v>
      </c>
      <c r="AZ43" s="9">
        <v>0.17943409807868901</v>
      </c>
      <c r="BA43" s="9">
        <v>36.502021789550703</v>
      </c>
      <c r="BB43" s="9">
        <v>36.502021789550703</v>
      </c>
      <c r="BC43" s="9" t="s">
        <v>59</v>
      </c>
      <c r="BD43" s="9" t="s">
        <v>59</v>
      </c>
    </row>
    <row r="44" spans="1:56" ht="31.5" x14ac:dyDescent="0.25">
      <c r="A44" s="6" t="s">
        <v>32</v>
      </c>
      <c r="B44" s="25" t="s">
        <v>58</v>
      </c>
      <c r="C44" s="7" t="s">
        <v>257</v>
      </c>
      <c r="D44" s="8" t="s">
        <v>60</v>
      </c>
      <c r="E44" s="9">
        <v>0</v>
      </c>
      <c r="F44" s="9">
        <v>1</v>
      </c>
      <c r="G44" s="9">
        <v>45</v>
      </c>
      <c r="H44" s="9">
        <v>64</v>
      </c>
      <c r="I44" s="9">
        <v>22.462899865868199</v>
      </c>
      <c r="J44" s="9">
        <v>532645</v>
      </c>
      <c r="K44" s="9">
        <v>85243</v>
      </c>
      <c r="L44" s="9">
        <v>437494.28889999999</v>
      </c>
      <c r="M44" s="9">
        <v>129818.7295</v>
      </c>
      <c r="N44" s="9">
        <v>638.19006999999999</v>
      </c>
      <c r="O44" s="9">
        <v>2.071018794</v>
      </c>
      <c r="P44" s="9">
        <v>1.0600000000000001E-8</v>
      </c>
      <c r="Q44" s="9">
        <v>6.4989699999999997E-4</v>
      </c>
      <c r="R44" s="9">
        <v>1.140296E-2</v>
      </c>
      <c r="S44" s="9">
        <v>45</v>
      </c>
      <c r="T44" s="9">
        <v>1</v>
      </c>
      <c r="U44" s="9">
        <v>20.048374370000001</v>
      </c>
      <c r="V44" s="9">
        <v>8.8928611130000004</v>
      </c>
      <c r="W44" s="9">
        <v>981988</v>
      </c>
      <c r="X44" s="9">
        <v>21.726719599999999</v>
      </c>
      <c r="Y44" s="9">
        <v>782</v>
      </c>
      <c r="Z44" s="9">
        <v>5.5979781810000002</v>
      </c>
      <c r="AA44" s="9">
        <v>966</v>
      </c>
      <c r="AB44" s="9">
        <v>30</v>
      </c>
      <c r="AC44" s="9">
        <v>4.1361421300105503</v>
      </c>
      <c r="AD44" s="9">
        <v>165.202278137207</v>
      </c>
      <c r="AE44" s="9">
        <v>45.685634613037102</v>
      </c>
      <c r="AF44" s="9">
        <v>-2928.3105769439499</v>
      </c>
      <c r="AG44" s="9">
        <v>-2928.3105769439499</v>
      </c>
      <c r="AH44" s="9">
        <v>138.14489144619401</v>
      </c>
      <c r="AI44" s="9">
        <v>-2928.3122557685101</v>
      </c>
      <c r="AJ44" s="9">
        <v>9.4385585173999999E-4</v>
      </c>
      <c r="AK44" s="9">
        <v>1463</v>
      </c>
      <c r="AL44" s="9">
        <v>1430</v>
      </c>
      <c r="AM44" s="9">
        <v>1498</v>
      </c>
      <c r="AN44" s="9">
        <v>104.788605625502</v>
      </c>
      <c r="AO44" s="9">
        <v>479.884175046037</v>
      </c>
      <c r="AP44" s="9">
        <f t="shared" si="0"/>
        <v>2.6811364286081867</v>
      </c>
      <c r="AQ44" s="9">
        <v>14.368024276209701</v>
      </c>
      <c r="AR44" s="9">
        <v>104.788605625502</v>
      </c>
      <c r="AS44" s="9">
        <v>100.11461558431699</v>
      </c>
      <c r="AT44" s="9">
        <v>109.862388297555</v>
      </c>
      <c r="AU44" s="9">
        <v>448.13778435693399</v>
      </c>
      <c r="AV44" s="9">
        <f t="shared" si="1"/>
        <v>2.6514115626274397</v>
      </c>
      <c r="AW44" s="9">
        <v>515.15615173988999</v>
      </c>
      <c r="AX44" s="9">
        <f t="shared" si="2"/>
        <v>2.7119388903225969</v>
      </c>
      <c r="AY44" s="9">
        <v>13.4175180169455</v>
      </c>
      <c r="AZ44" s="9">
        <v>15.424088726258701</v>
      </c>
      <c r="BA44" s="9">
        <v>100.11461558431699</v>
      </c>
      <c r="BB44" s="9">
        <v>109.862388297555</v>
      </c>
      <c r="BC44" s="9" t="s">
        <v>61</v>
      </c>
      <c r="BD44" s="9" t="s">
        <v>61</v>
      </c>
    </row>
    <row r="45" spans="1:56" ht="31.5" x14ac:dyDescent="0.25">
      <c r="A45" s="6" t="s">
        <v>32</v>
      </c>
      <c r="B45" s="25">
        <v>2</v>
      </c>
      <c r="C45" s="7" t="s">
        <v>258</v>
      </c>
      <c r="D45" s="8" t="s">
        <v>62</v>
      </c>
      <c r="E45" s="9">
        <v>0</v>
      </c>
      <c r="F45" s="9">
        <v>1</v>
      </c>
      <c r="G45" s="9">
        <v>31</v>
      </c>
      <c r="H45" s="9">
        <v>44</v>
      </c>
      <c r="I45" s="9">
        <v>15.266956006299001</v>
      </c>
      <c r="J45" s="9">
        <v>121665</v>
      </c>
      <c r="K45" s="9">
        <v>27059</v>
      </c>
      <c r="L45" s="9">
        <v>100949.19349999999</v>
      </c>
      <c r="M45" s="9">
        <v>28494.214309999999</v>
      </c>
      <c r="N45" s="9">
        <v>338.15836919999998</v>
      </c>
      <c r="O45" s="9">
        <v>1.6429430679999999</v>
      </c>
      <c r="P45" s="9">
        <v>1.07E-8</v>
      </c>
      <c r="Q45" s="9">
        <v>1.557042E-3</v>
      </c>
      <c r="R45" s="9">
        <v>1.5994293999999999E-2</v>
      </c>
      <c r="S45" s="9">
        <v>31</v>
      </c>
      <c r="T45" s="9">
        <v>1</v>
      </c>
      <c r="U45" s="9">
        <v>14.409360899999999</v>
      </c>
      <c r="V45" s="9">
        <v>6.0936413659999999</v>
      </c>
      <c r="W45" s="9">
        <v>217181</v>
      </c>
      <c r="X45" s="9">
        <v>14.60898429</v>
      </c>
      <c r="Y45" s="9">
        <v>428</v>
      </c>
      <c r="Z45" s="9">
        <v>4.6503291439999996</v>
      </c>
      <c r="AA45" s="9">
        <v>1714</v>
      </c>
      <c r="AB45" s="9">
        <v>24</v>
      </c>
      <c r="AC45" s="9">
        <v>3.5041650398213799</v>
      </c>
      <c r="AD45" s="9">
        <v>189.08906936645499</v>
      </c>
      <c r="AE45" s="9">
        <v>70.406036376953097</v>
      </c>
      <c r="AF45" s="9">
        <v>-2928.3092136472301</v>
      </c>
      <c r="AG45" s="9">
        <v>-2928.3092136472301</v>
      </c>
      <c r="AH45" s="9">
        <v>114.125733382422</v>
      </c>
      <c r="AI45" s="9">
        <v>-2928.3096085493198</v>
      </c>
      <c r="AJ45" s="9">
        <v>2.4577394921000001E-4</v>
      </c>
      <c r="AK45" s="9">
        <v>854</v>
      </c>
      <c r="AL45" s="9">
        <v>829</v>
      </c>
      <c r="AM45" s="9">
        <v>881</v>
      </c>
      <c r="AN45" s="9">
        <v>17.4784936824387</v>
      </c>
      <c r="AO45" s="9">
        <v>14.116425506510501</v>
      </c>
      <c r="AP45" s="9">
        <f t="shared" si="0"/>
        <v>1.1497247406729407</v>
      </c>
      <c r="AQ45" s="9">
        <v>0.43343673053474602</v>
      </c>
      <c r="AR45" s="9">
        <v>70.406036376953097</v>
      </c>
      <c r="AS45" s="9">
        <v>16.470141169003401</v>
      </c>
      <c r="AT45" s="9">
        <v>18.601162095793001</v>
      </c>
      <c r="AU45" s="9">
        <v>12.9126303977253</v>
      </c>
      <c r="AV45" s="9">
        <f t="shared" si="1"/>
        <v>1.1110147202567462</v>
      </c>
      <c r="AW45" s="9">
        <v>15.498114097021899</v>
      </c>
      <c r="AX45" s="9">
        <f t="shared" si="2"/>
        <v>1.1902788538420694</v>
      </c>
      <c r="AY45" s="9">
        <v>0.39647489370537797</v>
      </c>
      <c r="AZ45" s="9">
        <v>0.47586068446077501</v>
      </c>
      <c r="BA45" s="9">
        <v>70.406036376953097</v>
      </c>
      <c r="BB45" s="9">
        <v>70.406036376953097</v>
      </c>
      <c r="BC45" s="9" t="s">
        <v>63</v>
      </c>
      <c r="BD45" s="9" t="s">
        <v>63</v>
      </c>
    </row>
    <row r="46" spans="1:56" ht="31.5" x14ac:dyDescent="0.25">
      <c r="A46" s="6" t="s">
        <v>32</v>
      </c>
      <c r="B46" s="25">
        <v>2</v>
      </c>
      <c r="C46" s="7" t="s">
        <v>259</v>
      </c>
      <c r="D46" s="8" t="s">
        <v>64</v>
      </c>
      <c r="E46" s="9">
        <v>0</v>
      </c>
      <c r="F46" s="9">
        <v>1</v>
      </c>
      <c r="G46" s="9">
        <v>45</v>
      </c>
      <c r="H46" s="9">
        <v>64</v>
      </c>
      <c r="I46" s="9">
        <v>22.462899865868199</v>
      </c>
      <c r="J46" s="9">
        <v>532667</v>
      </c>
      <c r="K46" s="9">
        <v>85259</v>
      </c>
      <c r="L46" s="9">
        <v>437511.08889999997</v>
      </c>
      <c r="M46" s="9">
        <v>129821.7936</v>
      </c>
      <c r="N46" s="9">
        <v>642.72801049999998</v>
      </c>
      <c r="O46" s="9">
        <v>2.157121638</v>
      </c>
      <c r="P46" s="9">
        <v>1.05E-8</v>
      </c>
      <c r="Q46" s="9">
        <v>6.5449799999999999E-4</v>
      </c>
      <c r="R46" s="9">
        <v>1.1599429E-2</v>
      </c>
      <c r="S46" s="9">
        <v>45</v>
      </c>
      <c r="T46" s="9">
        <v>1</v>
      </c>
      <c r="U46" s="9">
        <v>20.048531749999999</v>
      </c>
      <c r="V46" s="9">
        <v>8.8928618260000007</v>
      </c>
      <c r="W46" s="9">
        <v>982018</v>
      </c>
      <c r="X46" s="9">
        <v>21.726719599999999</v>
      </c>
      <c r="Y46" s="9">
        <v>805</v>
      </c>
      <c r="Z46" s="9">
        <v>5.6232783130000001</v>
      </c>
      <c r="AA46" s="9">
        <v>966</v>
      </c>
      <c r="AB46" s="9">
        <v>30</v>
      </c>
      <c r="AC46" s="9">
        <v>4.2859984398802702</v>
      </c>
      <c r="AD46" s="9">
        <v>164.7626953125</v>
      </c>
      <c r="AE46" s="9">
        <v>45.021591186523402</v>
      </c>
      <c r="AF46" s="9">
        <v>-2928.3427192795202</v>
      </c>
      <c r="AG46" s="9">
        <v>-2928.3427192795202</v>
      </c>
      <c r="AH46" s="9">
        <v>147.74767569886399</v>
      </c>
      <c r="AI46" s="9">
        <v>-2928.34631056936</v>
      </c>
      <c r="AJ46" s="9">
        <v>1.6118793589700001E-3</v>
      </c>
      <c r="AK46" s="9">
        <v>3503</v>
      </c>
      <c r="AL46" s="9">
        <v>3113</v>
      </c>
      <c r="AM46" s="9">
        <v>3953</v>
      </c>
      <c r="AN46" s="9">
        <v>592.03429077683597</v>
      </c>
      <c r="AO46" s="9">
        <v>7045.46546073027</v>
      </c>
      <c r="AP46" s="9">
        <f t="shared" si="0"/>
        <v>3.8479096901847791</v>
      </c>
      <c r="AQ46" s="9">
        <v>204.38124545841799</v>
      </c>
      <c r="AR46" s="9">
        <v>592.03429077683597</v>
      </c>
      <c r="AS46" s="9">
        <v>467.54651976843502</v>
      </c>
      <c r="AT46" s="9">
        <v>753.91123605610699</v>
      </c>
      <c r="AU46" s="9">
        <v>4944.5484901043901</v>
      </c>
      <c r="AV46" s="9">
        <f t="shared" si="1"/>
        <v>3.6941266402792481</v>
      </c>
      <c r="AW46" s="9">
        <v>10124.409933507501</v>
      </c>
      <c r="AX46" s="9">
        <f t="shared" si="2"/>
        <v>4.005369721260613</v>
      </c>
      <c r="AY46" s="9">
        <v>143.435942489501</v>
      </c>
      <c r="AZ46" s="9">
        <v>293.69805632790201</v>
      </c>
      <c r="BA46" s="9">
        <v>467.54651976843502</v>
      </c>
      <c r="BB46" s="9">
        <v>753.91123605610699</v>
      </c>
      <c r="BC46" s="9" t="s">
        <v>65</v>
      </c>
      <c r="BD46" s="9" t="s">
        <v>65</v>
      </c>
    </row>
    <row r="47" spans="1:56" ht="31.5" x14ac:dyDescent="0.25">
      <c r="A47" s="6" t="s">
        <v>32</v>
      </c>
      <c r="B47" s="25" t="s">
        <v>67</v>
      </c>
      <c r="C47" s="7" t="s">
        <v>260</v>
      </c>
      <c r="D47" s="8" t="s">
        <v>66</v>
      </c>
      <c r="E47" s="9">
        <v>0</v>
      </c>
      <c r="F47" s="9">
        <v>4</v>
      </c>
      <c r="G47" s="9">
        <v>25</v>
      </c>
      <c r="H47" s="9">
        <v>37</v>
      </c>
      <c r="I47" s="9">
        <v>11.550057682897901</v>
      </c>
      <c r="J47" s="9">
        <v>51953</v>
      </c>
      <c r="K47" s="9">
        <v>13871</v>
      </c>
      <c r="L47" s="9">
        <v>43421.72</v>
      </c>
      <c r="M47" s="9">
        <v>11801.3223</v>
      </c>
      <c r="N47" s="9">
        <v>160.51973269999999</v>
      </c>
      <c r="O47" s="9">
        <v>1.716137171</v>
      </c>
      <c r="P47" s="9">
        <v>1.55E-8</v>
      </c>
      <c r="Q47" s="9">
        <v>1.77137E-3</v>
      </c>
      <c r="R47" s="9">
        <v>2.1276270999999999E-2</v>
      </c>
      <c r="S47" s="9">
        <v>25</v>
      </c>
      <c r="T47" s="9">
        <v>1</v>
      </c>
      <c r="U47" s="9">
        <v>11.97919862</v>
      </c>
      <c r="V47" s="9">
        <v>4.895770561</v>
      </c>
      <c r="W47" s="9">
        <v>90620</v>
      </c>
      <c r="X47" s="9">
        <v>11.282275200000001</v>
      </c>
      <c r="Y47" s="9">
        <v>293</v>
      </c>
      <c r="Z47" s="9">
        <v>3.332133518</v>
      </c>
      <c r="AA47" s="9">
        <v>305</v>
      </c>
      <c r="AB47" s="9">
        <v>15</v>
      </c>
      <c r="AC47" s="9">
        <v>2.7803957536111101E-2</v>
      </c>
      <c r="AD47" s="9">
        <v>124.00265502929599</v>
      </c>
      <c r="AE47" s="9">
        <v>2.88601303100585</v>
      </c>
      <c r="AF47" s="9">
        <v>-2623.09848833156</v>
      </c>
      <c r="AG47" s="9">
        <v>-2623.09848833156</v>
      </c>
      <c r="AH47" s="9">
        <v>0.75129542909361102</v>
      </c>
      <c r="AI47" s="9">
        <v>-2623.09863495122</v>
      </c>
      <c r="AJ47" s="9">
        <v>2.2559078142000001E-4</v>
      </c>
      <c r="AK47" s="9">
        <v>135</v>
      </c>
      <c r="AL47" s="9">
        <v>127</v>
      </c>
      <c r="AM47" s="9">
        <v>143</v>
      </c>
      <c r="AN47" s="9">
        <v>0.56541346401592796</v>
      </c>
      <c r="AO47" s="9">
        <v>6.5149717072572305E-2</v>
      </c>
      <c r="AP47" s="9">
        <f t="shared" si="0"/>
        <v>-1.1860874659696226</v>
      </c>
      <c r="AQ47" s="9">
        <v>2.4110621425726098E-3</v>
      </c>
      <c r="AR47" s="9">
        <v>2.88601303100585</v>
      </c>
      <c r="AS47" s="9">
        <v>0.50038703764679904</v>
      </c>
      <c r="AT47" s="9">
        <v>0.63441096985798195</v>
      </c>
      <c r="AU47" s="9">
        <v>5.4240338528178403E-2</v>
      </c>
      <c r="AV47" s="9">
        <f t="shared" si="1"/>
        <v>-1.2656776085867703</v>
      </c>
      <c r="AW47" s="9">
        <v>7.7431797474627001E-2</v>
      </c>
      <c r="AX47" s="9">
        <f t="shared" si="2"/>
        <v>-1.1110806590594555</v>
      </c>
      <c r="AY47" s="9">
        <v>2.0073276247683002E-3</v>
      </c>
      <c r="AZ47" s="9">
        <v>2.8655976405002601E-3</v>
      </c>
      <c r="BA47" s="9">
        <v>2.88601303100585</v>
      </c>
      <c r="BB47" s="9">
        <v>2.88601303100585</v>
      </c>
      <c r="BC47" s="9" t="s">
        <v>68</v>
      </c>
      <c r="BD47" s="9" t="s">
        <v>68</v>
      </c>
    </row>
    <row r="48" spans="1:56" ht="31.5" x14ac:dyDescent="0.25">
      <c r="A48" s="6" t="s">
        <v>32</v>
      </c>
      <c r="B48" s="25" t="s">
        <v>67</v>
      </c>
      <c r="C48" s="7" t="s">
        <v>261</v>
      </c>
      <c r="D48" s="8" t="s">
        <v>69</v>
      </c>
      <c r="E48" s="9">
        <v>0</v>
      </c>
      <c r="F48" s="9">
        <v>4</v>
      </c>
      <c r="G48" s="9">
        <v>39</v>
      </c>
      <c r="H48" s="9">
        <v>57</v>
      </c>
      <c r="I48" s="9">
        <v>18.737923138804099</v>
      </c>
      <c r="J48" s="9">
        <v>302015</v>
      </c>
      <c r="K48" s="9">
        <v>54941</v>
      </c>
      <c r="L48" s="9">
        <v>248940.3333</v>
      </c>
      <c r="M48" s="9">
        <v>72613.100690000007</v>
      </c>
      <c r="N48" s="9">
        <v>370.54222069999997</v>
      </c>
      <c r="O48" s="9">
        <v>2.1308458309999998</v>
      </c>
      <c r="P48" s="9">
        <v>1.03E-8</v>
      </c>
      <c r="Q48" s="9">
        <v>6.7306699999999996E-4</v>
      </c>
      <c r="R48" s="9">
        <v>1.4001187E-2</v>
      </c>
      <c r="S48" s="9">
        <v>39</v>
      </c>
      <c r="T48" s="9">
        <v>1</v>
      </c>
      <c r="U48" s="9">
        <v>17.635202929999998</v>
      </c>
      <c r="V48" s="9">
        <v>7.6928025179999997</v>
      </c>
      <c r="W48" s="9">
        <v>550529</v>
      </c>
      <c r="X48" s="9">
        <v>18.395548550000001</v>
      </c>
      <c r="Y48" s="9">
        <v>657</v>
      </c>
      <c r="Z48" s="9">
        <v>4.8387068590000002</v>
      </c>
      <c r="AA48" s="9">
        <v>1287</v>
      </c>
      <c r="AB48" s="9">
        <v>25</v>
      </c>
      <c r="AC48" s="9">
        <v>3.9819147026305499</v>
      </c>
      <c r="AD48" s="9">
        <v>181.21681213378901</v>
      </c>
      <c r="AE48" s="9">
        <v>62.106693267822202</v>
      </c>
      <c r="AF48" s="9">
        <v>-2623.1662804853299</v>
      </c>
      <c r="AG48" s="9">
        <v>-2623.1662804853299</v>
      </c>
      <c r="AH48" s="9">
        <v>135.78473510573801</v>
      </c>
      <c r="AI48" s="9">
        <v>-2623.16661546777</v>
      </c>
      <c r="AJ48" s="9">
        <v>1.7046611936E-4</v>
      </c>
      <c r="AK48" s="9">
        <v>609</v>
      </c>
      <c r="AL48" s="9">
        <v>564</v>
      </c>
      <c r="AM48" s="9">
        <v>657</v>
      </c>
      <c r="AN48" s="9">
        <v>13.906437820234</v>
      </c>
      <c r="AO48" s="9">
        <v>14.386898729092399</v>
      </c>
      <c r="AP48" s="9">
        <f t="shared" si="0"/>
        <v>1.1579671865705057</v>
      </c>
      <c r="AQ48" s="9">
        <v>0.42189870260467299</v>
      </c>
      <c r="AR48" s="9">
        <v>62.106693267822202</v>
      </c>
      <c r="AS48" s="9">
        <v>11.927227991903401</v>
      </c>
      <c r="AT48" s="9">
        <v>16.184975716378499</v>
      </c>
      <c r="AU48" s="9">
        <v>11.4275365922189</v>
      </c>
      <c r="AV48" s="9">
        <f t="shared" si="1"/>
        <v>1.057952620621907</v>
      </c>
      <c r="AW48" s="9">
        <v>18.063895714848101</v>
      </c>
      <c r="AX48" s="9">
        <f t="shared" si="2"/>
        <v>1.2568114173512233</v>
      </c>
      <c r="AY48" s="9">
        <v>0.33511481195563497</v>
      </c>
      <c r="AZ48" s="9">
        <v>0.52972737972148698</v>
      </c>
      <c r="BA48" s="9">
        <v>62.106693267822202</v>
      </c>
      <c r="BB48" s="9">
        <v>62.106693267822202</v>
      </c>
      <c r="BC48" s="9" t="s">
        <v>70</v>
      </c>
      <c r="BD48" s="9" t="s">
        <v>70</v>
      </c>
    </row>
    <row r="49" spans="1:56" ht="31.5" x14ac:dyDescent="0.25">
      <c r="A49" s="6" t="s">
        <v>32</v>
      </c>
      <c r="B49" s="25" t="s">
        <v>33</v>
      </c>
      <c r="C49" s="7" t="s">
        <v>262</v>
      </c>
      <c r="D49" s="8" t="s">
        <v>84</v>
      </c>
      <c r="E49" s="9">
        <v>-1</v>
      </c>
      <c r="F49" s="9">
        <v>4</v>
      </c>
      <c r="G49" s="9">
        <v>70</v>
      </c>
      <c r="H49" s="9">
        <v>93</v>
      </c>
      <c r="I49" s="9">
        <v>37.653194479733401</v>
      </c>
      <c r="J49" s="9">
        <v>3072612</v>
      </c>
      <c r="K49" s="9">
        <v>325160</v>
      </c>
      <c r="L49" s="9">
        <v>2500465.9139999999</v>
      </c>
      <c r="M49" s="9">
        <v>773787.7095</v>
      </c>
      <c r="N49" s="9">
        <v>1575.1383129999999</v>
      </c>
      <c r="O49" s="9">
        <v>2.083120922</v>
      </c>
      <c r="P49" s="9">
        <v>1E-8</v>
      </c>
      <c r="Q49" s="9">
        <v>2.70578E-4</v>
      </c>
      <c r="R49" s="9">
        <v>5.6318319999999998E-3</v>
      </c>
      <c r="S49" s="9">
        <v>70</v>
      </c>
      <c r="T49" s="9">
        <v>1</v>
      </c>
      <c r="U49" s="9">
        <v>30.067208130000001</v>
      </c>
      <c r="V49" s="9">
        <v>13.88634207</v>
      </c>
      <c r="W49" s="9">
        <v>5821380</v>
      </c>
      <c r="X49" s="9">
        <v>37.063190550000002</v>
      </c>
      <c r="Y49" s="9">
        <v>1242</v>
      </c>
      <c r="Z49" s="9">
        <v>6.4126905860000001</v>
      </c>
      <c r="AA49" s="9">
        <v>900</v>
      </c>
      <c r="AB49" s="9">
        <v>65</v>
      </c>
      <c r="AC49" s="9">
        <v>18.350117740960499</v>
      </c>
      <c r="AD49" s="9">
        <v>255.181716918945</v>
      </c>
      <c r="AE49" s="9">
        <v>101.46950912475501</v>
      </c>
      <c r="AF49" s="9">
        <v>-2928.6002849690599</v>
      </c>
      <c r="AG49" s="9">
        <v>-2928.6002849690599</v>
      </c>
      <c r="AH49" s="9">
        <v>1659.2208928937</v>
      </c>
      <c r="AI49" s="9">
        <v>-2928.6198582908901</v>
      </c>
      <c r="AJ49" s="9">
        <v>1.605737237931E-2</v>
      </c>
      <c r="AK49" s="9">
        <v>9937</v>
      </c>
      <c r="AL49" s="9">
        <v>9343</v>
      </c>
      <c r="AM49" s="9">
        <v>10577</v>
      </c>
      <c r="AN49" s="9">
        <v>12369.755633901301</v>
      </c>
      <c r="AO49" s="9">
        <v>2233276.7716961801</v>
      </c>
      <c r="AP49" s="9">
        <f t="shared" si="0"/>
        <v>6.3489425488537155</v>
      </c>
      <c r="AQ49" s="9">
        <v>24698.876372817402</v>
      </c>
      <c r="AR49" s="9">
        <v>12369.755633901301</v>
      </c>
      <c r="AS49" s="9">
        <v>10935.1120675561</v>
      </c>
      <c r="AT49" s="9">
        <v>14014.433567874799</v>
      </c>
      <c r="AU49" s="9">
        <v>1856246.8340157699</v>
      </c>
      <c r="AV49" s="9">
        <f t="shared" si="1"/>
        <v>6.2686357259363561</v>
      </c>
      <c r="AW49" s="9">
        <v>2693172.6315794</v>
      </c>
      <c r="AX49" s="9">
        <f t="shared" si="2"/>
        <v>6.4302641924532526</v>
      </c>
      <c r="AY49" s="9">
        <v>20529.121894716201</v>
      </c>
      <c r="AZ49" s="9">
        <v>29785.084733368702</v>
      </c>
      <c r="BA49" s="9">
        <v>10935.1120675561</v>
      </c>
      <c r="BB49" s="9">
        <v>14014.433567874799</v>
      </c>
      <c r="BC49" s="9" t="s">
        <v>86</v>
      </c>
      <c r="BD49" s="9" t="s">
        <v>85</v>
      </c>
    </row>
    <row r="50" spans="1:56" ht="31.5" x14ac:dyDescent="0.25">
      <c r="A50" s="6" t="s">
        <v>32</v>
      </c>
      <c r="B50" s="25" t="s">
        <v>37</v>
      </c>
      <c r="C50" s="7" t="s">
        <v>263</v>
      </c>
      <c r="D50" s="8" t="s">
        <v>87</v>
      </c>
      <c r="E50" s="9">
        <v>-1</v>
      </c>
      <c r="F50" s="9">
        <v>2</v>
      </c>
      <c r="G50" s="9">
        <v>69</v>
      </c>
      <c r="H50" s="9">
        <v>93</v>
      </c>
      <c r="I50" s="9">
        <v>36.698907333418397</v>
      </c>
      <c r="J50" s="9">
        <v>2905531</v>
      </c>
      <c r="K50" s="9">
        <v>313063</v>
      </c>
      <c r="L50" s="9">
        <v>2365613.6090000002</v>
      </c>
      <c r="M50" s="9">
        <v>730857.8075</v>
      </c>
      <c r="N50" s="9">
        <v>1837.8198379999999</v>
      </c>
      <c r="O50" s="9">
        <v>2.3076574220000001</v>
      </c>
      <c r="P50" s="9">
        <v>1E-8</v>
      </c>
      <c r="Q50" s="9">
        <v>3.3408299999999999E-4</v>
      </c>
      <c r="R50" s="9">
        <v>6.1158289999999997E-3</v>
      </c>
      <c r="S50" s="9">
        <v>69</v>
      </c>
      <c r="T50" s="9">
        <v>1</v>
      </c>
      <c r="U50" s="9">
        <v>29.67185534</v>
      </c>
      <c r="V50" s="9">
        <v>13.688995090000001</v>
      </c>
      <c r="W50" s="9">
        <v>5501084</v>
      </c>
      <c r="X50" s="9">
        <v>36.160485749999999</v>
      </c>
      <c r="Y50" s="9">
        <v>1229</v>
      </c>
      <c r="Z50" s="9">
        <v>6.7355671179999996</v>
      </c>
      <c r="AA50" s="9">
        <v>900</v>
      </c>
      <c r="AB50" s="9">
        <v>55</v>
      </c>
      <c r="AC50" s="9">
        <v>10.443047853653001</v>
      </c>
      <c r="AD50" s="9">
        <v>249.19987869262599</v>
      </c>
      <c r="AE50" s="9">
        <v>95.019474029541001</v>
      </c>
      <c r="AF50" s="9">
        <v>-2928.48162430496</v>
      </c>
      <c r="AG50" s="9">
        <v>-2928.48162430496</v>
      </c>
      <c r="AH50" s="9">
        <v>939.28332728760302</v>
      </c>
      <c r="AI50" s="9">
        <v>-2928.5037193806802</v>
      </c>
      <c r="AJ50" s="9">
        <v>2.094908203688E-2</v>
      </c>
      <c r="AK50" s="9">
        <v>8793</v>
      </c>
      <c r="AL50" s="9">
        <v>7630</v>
      </c>
      <c r="AM50" s="9">
        <v>10172</v>
      </c>
      <c r="AN50" s="9">
        <v>9069.8843525943703</v>
      </c>
      <c r="AO50" s="9">
        <v>875951.99208492006</v>
      </c>
      <c r="AP50" s="9">
        <f t="shared" si="0"/>
        <v>5.9424803046338992</v>
      </c>
      <c r="AQ50" s="9">
        <v>9738.9236081314993</v>
      </c>
      <c r="AR50" s="9">
        <v>9069.8843525943703</v>
      </c>
      <c r="AS50" s="9">
        <v>6829.3076760868898</v>
      </c>
      <c r="AT50" s="9">
        <v>12137.8091972042</v>
      </c>
      <c r="AU50" s="9">
        <v>572324.97638203006</v>
      </c>
      <c r="AV50" s="9">
        <f t="shared" si="1"/>
        <v>5.7576426990242462</v>
      </c>
      <c r="AW50" s="9">
        <v>1356088.8329336699</v>
      </c>
      <c r="AX50" s="9">
        <f t="shared" si="2"/>
        <v>6.132288139670619</v>
      </c>
      <c r="AY50" s="9">
        <v>6363.1674730752802</v>
      </c>
      <c r="AZ50" s="9">
        <v>15077.133985786801</v>
      </c>
      <c r="BA50" s="9">
        <v>6829.3076760868898</v>
      </c>
      <c r="BB50" s="9">
        <v>12137.8091972042</v>
      </c>
      <c r="BC50" s="9" t="s">
        <v>89</v>
      </c>
      <c r="BD50" s="9" t="s">
        <v>88</v>
      </c>
    </row>
    <row r="51" spans="1:56" ht="31.5" x14ac:dyDescent="0.25">
      <c r="A51" s="6" t="s">
        <v>72</v>
      </c>
      <c r="B51" s="25" t="s">
        <v>73</v>
      </c>
      <c r="C51" s="7" t="s">
        <v>264</v>
      </c>
      <c r="D51" s="8" t="s">
        <v>71</v>
      </c>
      <c r="E51" s="9">
        <v>1</v>
      </c>
      <c r="F51" s="9">
        <v>1</v>
      </c>
      <c r="G51" s="9">
        <v>69</v>
      </c>
      <c r="H51" s="9">
        <v>90</v>
      </c>
      <c r="I51" s="9">
        <v>37.574122574646097</v>
      </c>
      <c r="J51" s="9">
        <v>2900879</v>
      </c>
      <c r="K51" s="9">
        <v>311517</v>
      </c>
      <c r="L51" s="9">
        <v>2362050.6809999999</v>
      </c>
      <c r="M51" s="9">
        <v>729593.68629999994</v>
      </c>
      <c r="N51" s="9">
        <v>1478.976484</v>
      </c>
      <c r="O51" s="9">
        <v>1.8468962579999999</v>
      </c>
      <c r="P51" s="9">
        <v>1E-8</v>
      </c>
      <c r="Q51" s="9">
        <v>2.69308E-4</v>
      </c>
      <c r="R51" s="9">
        <v>5.5082000000000004E-3</v>
      </c>
      <c r="S51" s="9">
        <v>69</v>
      </c>
      <c r="T51" s="9">
        <v>1</v>
      </c>
      <c r="U51" s="9">
        <v>29.677413049999998</v>
      </c>
      <c r="V51" s="9">
        <v>13.69424961</v>
      </c>
      <c r="W51" s="9">
        <v>5491770</v>
      </c>
      <c r="X51" s="9">
        <v>36.725578929999998</v>
      </c>
      <c r="Y51" s="9">
        <v>1115</v>
      </c>
      <c r="Z51" s="9">
        <v>6.2291145620000004</v>
      </c>
      <c r="AA51" s="9">
        <v>760</v>
      </c>
      <c r="AB51" s="9">
        <v>80</v>
      </c>
      <c r="AC51" s="9">
        <v>20.6684810809891</v>
      </c>
      <c r="AD51" s="9">
        <v>241.880176544189</v>
      </c>
      <c r="AE51" s="9">
        <v>87.845191955566406</v>
      </c>
      <c r="AF51" s="9">
        <v>-4269.9021669467002</v>
      </c>
      <c r="AG51" s="9">
        <v>-4269.9021669467002</v>
      </c>
      <c r="AH51" s="9">
        <v>1208.7133873207499</v>
      </c>
      <c r="AI51" s="9">
        <v>-4269.9113409040001</v>
      </c>
      <c r="AJ51" s="9">
        <v>1.94978937402E-3</v>
      </c>
      <c r="AK51" s="9">
        <v>836</v>
      </c>
      <c r="AL51" s="9">
        <v>653</v>
      </c>
      <c r="AM51" s="9">
        <v>1081</v>
      </c>
      <c r="AN51" s="9">
        <v>106.292682266235</v>
      </c>
      <c r="AO51" s="9">
        <v>1608.79751852391</v>
      </c>
      <c r="AP51" s="9">
        <f t="shared" si="0"/>
        <v>3.2065013877153614</v>
      </c>
      <c r="AQ51" s="9">
        <v>27.5097483187965</v>
      </c>
      <c r="AR51" s="9">
        <v>106.292682266235</v>
      </c>
      <c r="AS51" s="9">
        <v>64.851074197681896</v>
      </c>
      <c r="AT51" s="9">
        <v>177.72241232130901</v>
      </c>
      <c r="AU51" s="9">
        <v>766.694061186618</v>
      </c>
      <c r="AV51" s="9">
        <f t="shared" si="1"/>
        <v>2.8846220992235359</v>
      </c>
      <c r="AW51" s="9">
        <v>3478.2407372922298</v>
      </c>
      <c r="AX51" s="9">
        <f t="shared" si="2"/>
        <v>3.5413596372582443</v>
      </c>
      <c r="AY51" s="9">
        <v>13.1101399759191</v>
      </c>
      <c r="AZ51" s="9">
        <v>59.476426444818799</v>
      </c>
      <c r="BA51" s="9">
        <v>87.845191955566406</v>
      </c>
      <c r="BB51" s="9">
        <v>177.72241232130901</v>
      </c>
      <c r="BC51" s="9" t="s">
        <v>75</v>
      </c>
      <c r="BD51" s="9" t="s">
        <v>74</v>
      </c>
    </row>
    <row r="52" spans="1:56" ht="31.5" x14ac:dyDescent="0.25">
      <c r="A52" s="6" t="s">
        <v>72</v>
      </c>
      <c r="B52" s="25" t="s">
        <v>77</v>
      </c>
      <c r="C52" s="7" t="s">
        <v>265</v>
      </c>
      <c r="D52" s="8" t="s">
        <v>76</v>
      </c>
      <c r="E52" s="9">
        <v>1</v>
      </c>
      <c r="F52" s="9">
        <v>1</v>
      </c>
      <c r="G52" s="9">
        <v>70</v>
      </c>
      <c r="H52" s="9">
        <v>90</v>
      </c>
      <c r="I52" s="9">
        <v>38.474099326213903</v>
      </c>
      <c r="J52" s="9">
        <v>3046824</v>
      </c>
      <c r="K52" s="9">
        <v>318432</v>
      </c>
      <c r="L52" s="9">
        <v>2479117.6860000002</v>
      </c>
      <c r="M52" s="9">
        <v>767556.14320000005</v>
      </c>
      <c r="N52" s="9">
        <v>1412.755105</v>
      </c>
      <c r="O52" s="9">
        <v>1.7478343620000001</v>
      </c>
      <c r="P52" s="9">
        <v>1E-8</v>
      </c>
      <c r="Q52" s="9">
        <v>2.4480699999999999E-4</v>
      </c>
      <c r="R52" s="9">
        <v>5.2017460000000001E-3</v>
      </c>
      <c r="S52" s="9">
        <v>70</v>
      </c>
      <c r="T52" s="9">
        <v>1</v>
      </c>
      <c r="U52" s="9">
        <v>30.071338799999999</v>
      </c>
      <c r="V52" s="9">
        <v>13.89417166</v>
      </c>
      <c r="W52" s="9">
        <v>5770886</v>
      </c>
      <c r="X52" s="9">
        <v>37.619894989999999</v>
      </c>
      <c r="Y52" s="9">
        <v>1121</v>
      </c>
      <c r="Z52" s="9">
        <v>6.2711015550000004</v>
      </c>
      <c r="AA52" s="9">
        <v>747</v>
      </c>
      <c r="AB52" s="9">
        <v>80</v>
      </c>
      <c r="AC52" s="9">
        <v>22.450202751962699</v>
      </c>
      <c r="AD52" s="9">
        <v>244.878673553466</v>
      </c>
      <c r="AE52" s="9">
        <v>90.604282379150305</v>
      </c>
      <c r="AF52" s="9">
        <v>-4269.9333805463102</v>
      </c>
      <c r="AG52" s="9">
        <v>-4269.9333805463102</v>
      </c>
      <c r="AH52" s="9">
        <v>1313.3243368989899</v>
      </c>
      <c r="AI52" s="9">
        <v>-4269.9502285435301</v>
      </c>
      <c r="AJ52" s="9">
        <v>7.5673539644100004E-3</v>
      </c>
      <c r="AK52" s="9">
        <v>789</v>
      </c>
      <c r="AL52" s="9">
        <v>483</v>
      </c>
      <c r="AM52" s="9">
        <v>1343</v>
      </c>
      <c r="AN52" s="9">
        <v>101.079137560417</v>
      </c>
      <c r="AO52" s="9">
        <v>1547.53755225143</v>
      </c>
      <c r="AP52" s="9">
        <f t="shared" si="0"/>
        <v>3.1896411963271833</v>
      </c>
      <c r="AQ52" s="9">
        <v>26.453885638298999</v>
      </c>
      <c r="AR52" s="9">
        <v>101.079137560417</v>
      </c>
      <c r="AS52" s="9">
        <v>37.879285875227097</v>
      </c>
      <c r="AT52" s="9">
        <v>292.85965514690997</v>
      </c>
      <c r="AU52" s="9">
        <v>355.01898576827898</v>
      </c>
      <c r="AV52" s="9">
        <f t="shared" si="1"/>
        <v>2.5502515789534588</v>
      </c>
      <c r="AW52" s="9">
        <v>7631.99759261293</v>
      </c>
      <c r="AX52" s="9">
        <f t="shared" si="2"/>
        <v>3.8826382247050684</v>
      </c>
      <c r="AY52" s="9">
        <v>6.0687584836152002</v>
      </c>
      <c r="AZ52" s="9">
        <v>130.462741413304</v>
      </c>
      <c r="BA52" s="9">
        <v>90.604282379150305</v>
      </c>
      <c r="BB52" s="9">
        <v>292.85965514690997</v>
      </c>
      <c r="BC52" s="9" t="s">
        <v>79</v>
      </c>
      <c r="BD52" s="9" t="s">
        <v>78</v>
      </c>
    </row>
    <row r="53" spans="1:56" ht="31.5" x14ac:dyDescent="0.25">
      <c r="A53" s="6" t="s">
        <v>72</v>
      </c>
      <c r="B53" s="25" t="s">
        <v>81</v>
      </c>
      <c r="C53" s="7" t="s">
        <v>266</v>
      </c>
      <c r="D53" s="8" t="s">
        <v>80</v>
      </c>
      <c r="E53" s="9">
        <v>1</v>
      </c>
      <c r="F53" s="9">
        <v>1</v>
      </c>
      <c r="G53" s="9">
        <v>69</v>
      </c>
      <c r="H53" s="9">
        <v>90</v>
      </c>
      <c r="I53" s="9">
        <v>37.574122574646097</v>
      </c>
      <c r="J53" s="9">
        <v>2902153</v>
      </c>
      <c r="K53" s="9">
        <v>312263</v>
      </c>
      <c r="L53" s="9">
        <v>2363747.4350000001</v>
      </c>
      <c r="M53" s="9">
        <v>729751.6949</v>
      </c>
      <c r="N53" s="9">
        <v>1531.5838309999999</v>
      </c>
      <c r="O53" s="9">
        <v>1.8261021980000001</v>
      </c>
      <c r="P53" s="9">
        <v>1E-8</v>
      </c>
      <c r="Q53" s="9">
        <v>2.7869E-4</v>
      </c>
      <c r="R53" s="9">
        <v>5.467029E-3</v>
      </c>
      <c r="S53" s="9">
        <v>69</v>
      </c>
      <c r="T53" s="9">
        <v>1</v>
      </c>
      <c r="U53" s="9">
        <v>29.677742210000002</v>
      </c>
      <c r="V53" s="9">
        <v>13.69419454</v>
      </c>
      <c r="W53" s="9">
        <v>5495654</v>
      </c>
      <c r="X53" s="9">
        <v>36.725578929999998</v>
      </c>
      <c r="Y53" s="9">
        <v>1102</v>
      </c>
      <c r="Z53" s="9">
        <v>6.1642039449999997</v>
      </c>
      <c r="AA53" s="9">
        <v>604</v>
      </c>
      <c r="AB53" s="9">
        <v>80</v>
      </c>
      <c r="AC53" s="9">
        <v>10.6140177089055</v>
      </c>
      <c r="AD53" s="9">
        <v>213.23008728027301</v>
      </c>
      <c r="AE53" s="9">
        <v>58.4760131835937</v>
      </c>
      <c r="AF53" s="9">
        <v>-4269.9056469289499</v>
      </c>
      <c r="AG53" s="9">
        <v>-4269.9056469289499</v>
      </c>
      <c r="AH53" s="9">
        <v>587.98788866613904</v>
      </c>
      <c r="AI53" s="9">
        <v>-4269.9198197292199</v>
      </c>
      <c r="AJ53" s="9">
        <v>6.8977474487400001E-3</v>
      </c>
      <c r="AK53" s="9">
        <v>895</v>
      </c>
      <c r="AL53" s="9">
        <v>856</v>
      </c>
      <c r="AM53" s="9">
        <v>936</v>
      </c>
      <c r="AN53" s="9">
        <v>128.39554312417201</v>
      </c>
      <c r="AO53" s="9">
        <v>1913.05154028078</v>
      </c>
      <c r="AP53" s="9">
        <f t="shared" si="0"/>
        <v>3.281726670684908</v>
      </c>
      <c r="AQ53" s="9">
        <v>34.533301311106698</v>
      </c>
      <c r="AR53" s="9">
        <v>128.39554312417201</v>
      </c>
      <c r="AS53" s="9">
        <v>117.449563604923</v>
      </c>
      <c r="AT53" s="9">
        <v>140.4286030385</v>
      </c>
      <c r="AU53" s="9">
        <v>1673.7047889330499</v>
      </c>
      <c r="AV53" s="9">
        <f t="shared" si="1"/>
        <v>3.22367885876863</v>
      </c>
      <c r="AW53" s="9">
        <v>2188.1904130038201</v>
      </c>
      <c r="AX53" s="9">
        <f t="shared" si="2"/>
        <v>3.3400851109514877</v>
      </c>
      <c r="AY53" s="9">
        <v>30.212752016908201</v>
      </c>
      <c r="AZ53" s="9">
        <v>39.499949304682701</v>
      </c>
      <c r="BA53" s="9">
        <v>117.449563604923</v>
      </c>
      <c r="BB53" s="9">
        <v>140.4286030385</v>
      </c>
      <c r="BC53" s="9" t="s">
        <v>83</v>
      </c>
      <c r="BD53" s="9" t="s">
        <v>82</v>
      </c>
    </row>
    <row r="54" spans="1:56" ht="31.5" x14ac:dyDescent="0.25">
      <c r="A54" s="6" t="s">
        <v>128</v>
      </c>
      <c r="B54" s="25" t="s">
        <v>129</v>
      </c>
      <c r="C54" s="7" t="s">
        <v>267</v>
      </c>
      <c r="D54" s="8" t="s">
        <v>127</v>
      </c>
      <c r="E54" s="9">
        <v>0</v>
      </c>
      <c r="F54" s="9">
        <v>1</v>
      </c>
      <c r="G54" s="9">
        <v>9</v>
      </c>
      <c r="H54" s="9">
        <v>12</v>
      </c>
      <c r="I54" s="9">
        <v>4.2686715597469904</v>
      </c>
      <c r="J54" s="9">
        <v>919</v>
      </c>
      <c r="K54" s="9">
        <v>529</v>
      </c>
      <c r="L54" s="9">
        <v>809</v>
      </c>
      <c r="M54" s="9">
        <v>154.14279089999999</v>
      </c>
      <c r="N54" s="9">
        <v>22.358067779999999</v>
      </c>
      <c r="O54" s="9">
        <v>1.582613625</v>
      </c>
      <c r="P54" s="9">
        <v>2.6199999999999999E-7</v>
      </c>
      <c r="Q54" s="9">
        <v>1.6236796000000001E-2</v>
      </c>
      <c r="R54" s="9">
        <v>7.4151305000000001E-2</v>
      </c>
      <c r="S54" s="9">
        <v>9</v>
      </c>
      <c r="T54" s="9">
        <v>1</v>
      </c>
      <c r="U54" s="9">
        <v>5.2875816990000004</v>
      </c>
      <c r="V54" s="9">
        <v>1.762622833</v>
      </c>
      <c r="W54" s="9">
        <v>1378</v>
      </c>
      <c r="X54" s="9">
        <v>3.848558572</v>
      </c>
      <c r="Y54" s="9">
        <v>45</v>
      </c>
      <c r="Z54" s="9">
        <v>3.3216637659999999</v>
      </c>
      <c r="AA54" s="9">
        <v>17</v>
      </c>
      <c r="AB54" s="9">
        <v>12</v>
      </c>
      <c r="AC54" s="9">
        <v>1.05858588111111E-3</v>
      </c>
      <c r="AD54" s="9">
        <v>153.79864501953099</v>
      </c>
      <c r="AE54" s="9">
        <v>0.40102386474609297</v>
      </c>
      <c r="AF54" s="9">
        <v>-380.90183856597798</v>
      </c>
      <c r="AG54" s="9">
        <v>-380.90183856597798</v>
      </c>
      <c r="AH54" s="9">
        <v>1.05020740383333E-2</v>
      </c>
      <c r="AI54" s="9">
        <v>-380.90188015949002</v>
      </c>
      <c r="AJ54" s="10">
        <v>9.16428673908914E-5</v>
      </c>
      <c r="AK54" s="9">
        <v>9</v>
      </c>
      <c r="AL54" s="9">
        <v>8</v>
      </c>
      <c r="AM54" s="9">
        <v>11</v>
      </c>
      <c r="AN54" s="9">
        <v>0.112397692195271</v>
      </c>
      <c r="AO54" s="9">
        <v>1.55831711254732E-3</v>
      </c>
      <c r="AP54" s="9">
        <f t="shared" si="0"/>
        <v>-2.8073441601322093</v>
      </c>
      <c r="AQ54" s="9">
        <v>1.5707492516385101E-4</v>
      </c>
      <c r="AR54" s="9">
        <v>0.40102386474609297</v>
      </c>
      <c r="AS54" s="9">
        <v>8.8808053092560499E-2</v>
      </c>
      <c r="AT54" s="9">
        <v>0.16790272537812201</v>
      </c>
      <c r="AU54" s="9">
        <v>1.09445591443652E-3</v>
      </c>
      <c r="AV54" s="9">
        <f t="shared" si="1"/>
        <v>-2.9608017274743559</v>
      </c>
      <c r="AW54" s="9">
        <v>2.8451578556933899E-3</v>
      </c>
      <c r="AX54" s="9">
        <f t="shared" si="2"/>
        <v>-2.5458936329755093</v>
      </c>
      <c r="AY54" s="9">
        <v>1.1031874030712099E-4</v>
      </c>
      <c r="AZ54" s="9">
        <v>2.8678563154058303E-4</v>
      </c>
      <c r="BA54" s="9">
        <v>0.40102386474609297</v>
      </c>
      <c r="BB54" s="9">
        <v>0.40102386474609297</v>
      </c>
      <c r="BC54" s="9" t="s">
        <v>130</v>
      </c>
      <c r="BD54" s="9" t="s">
        <v>130</v>
      </c>
    </row>
    <row r="55" spans="1:56" ht="31.5" x14ac:dyDescent="0.25">
      <c r="A55" s="6" t="s">
        <v>128</v>
      </c>
      <c r="B55" s="25" t="s">
        <v>129</v>
      </c>
      <c r="C55" s="7" t="s">
        <v>268</v>
      </c>
      <c r="D55" s="8" t="s">
        <v>131</v>
      </c>
      <c r="E55" s="9">
        <v>0</v>
      </c>
      <c r="F55" s="9">
        <v>1</v>
      </c>
      <c r="G55" s="9">
        <v>14</v>
      </c>
      <c r="H55" s="9">
        <v>22</v>
      </c>
      <c r="I55" s="9">
        <v>5.5760417334419898</v>
      </c>
      <c r="J55" s="9">
        <v>5264</v>
      </c>
      <c r="K55" s="9">
        <v>2224</v>
      </c>
      <c r="L55" s="9">
        <v>4512</v>
      </c>
      <c r="M55" s="9">
        <v>1052.9479699999999</v>
      </c>
      <c r="N55" s="9">
        <v>67.867462750000001</v>
      </c>
      <c r="O55" s="9">
        <v>2.521499634</v>
      </c>
      <c r="P55" s="9">
        <v>1.36E-7</v>
      </c>
      <c r="Q55" s="9">
        <v>8.006071E-3</v>
      </c>
      <c r="R55" s="9">
        <v>6.4279681000000005E-2</v>
      </c>
      <c r="S55" s="9">
        <v>14</v>
      </c>
      <c r="T55" s="9">
        <v>1</v>
      </c>
      <c r="U55" s="9">
        <v>7.4516928160000004</v>
      </c>
      <c r="V55" s="9">
        <v>2.71672862</v>
      </c>
      <c r="W55" s="9">
        <v>8478</v>
      </c>
      <c r="X55" s="9">
        <v>5.1222027670000001</v>
      </c>
      <c r="Y55" s="9">
        <v>105</v>
      </c>
      <c r="Z55" s="9">
        <v>3.2776437889999999</v>
      </c>
      <c r="AA55" s="9">
        <v>33</v>
      </c>
      <c r="AB55" s="9">
        <v>13</v>
      </c>
      <c r="AC55" s="9">
        <v>2.6426557233333301E-3</v>
      </c>
      <c r="AD55" s="9">
        <v>153.821983337402</v>
      </c>
      <c r="AE55" s="9">
        <v>0.58665847778320301</v>
      </c>
      <c r="AF55" s="9">
        <v>-380.88800599580497</v>
      </c>
      <c r="AG55" s="9">
        <v>-380.88800599580497</v>
      </c>
      <c r="AH55" s="9">
        <v>2.8926578630277699E-2</v>
      </c>
      <c r="AI55" s="9">
        <v>-380.88817482885997</v>
      </c>
      <c r="AJ55" s="10">
        <v>7.5624284271792906E-5</v>
      </c>
      <c r="AK55" s="9">
        <v>17</v>
      </c>
      <c r="AL55" s="9">
        <v>13</v>
      </c>
      <c r="AM55" s="9">
        <v>21</v>
      </c>
      <c r="AN55" s="9">
        <v>0.15568806251546799</v>
      </c>
      <c r="AO55" s="9">
        <v>3.9545950082242399E-3</v>
      </c>
      <c r="AP55" s="9">
        <f t="shared" si="0"/>
        <v>-2.402897986173735</v>
      </c>
      <c r="AQ55" s="9">
        <v>3.6128134147916198E-4</v>
      </c>
      <c r="AR55" s="9">
        <v>0.58665847778320301</v>
      </c>
      <c r="AS55" s="9">
        <v>9.1042500225308798E-2</v>
      </c>
      <c r="AT55" s="9">
        <v>0.23757244141633799</v>
      </c>
      <c r="AU55" s="9">
        <v>1.76841954672677E-3</v>
      </c>
      <c r="AV55" s="9">
        <f t="shared" si="1"/>
        <v>-2.7524146933880478</v>
      </c>
      <c r="AW55" s="9">
        <v>7.4544075658792399E-3</v>
      </c>
      <c r="AX55" s="9">
        <f t="shared" si="2"/>
        <v>-2.1275868661067987</v>
      </c>
      <c r="AY55" s="9">
        <v>1.6155813295943799E-4</v>
      </c>
      <c r="AZ55" s="9">
        <v>6.8101496100926595E-4</v>
      </c>
      <c r="BA55" s="9">
        <v>0.58665847778320301</v>
      </c>
      <c r="BB55" s="9">
        <v>0.58665847778320301</v>
      </c>
      <c r="BC55" s="9" t="s">
        <v>132</v>
      </c>
      <c r="BD55" s="9" t="s">
        <v>132</v>
      </c>
    </row>
    <row r="56" spans="1:56" ht="31.5" x14ac:dyDescent="0.25">
      <c r="A56" s="6" t="s">
        <v>128</v>
      </c>
      <c r="B56" s="25" t="s">
        <v>128</v>
      </c>
      <c r="C56" s="7" t="s">
        <v>269</v>
      </c>
      <c r="D56" s="8" t="s">
        <v>133</v>
      </c>
      <c r="E56" s="9">
        <v>0</v>
      </c>
      <c r="F56" s="9">
        <v>1</v>
      </c>
      <c r="G56" s="9">
        <v>33</v>
      </c>
      <c r="H56" s="9">
        <v>44</v>
      </c>
      <c r="I56" s="9">
        <v>17.260508249748199</v>
      </c>
      <c r="J56" s="9">
        <v>155823</v>
      </c>
      <c r="K56" s="9">
        <v>32827</v>
      </c>
      <c r="L56" s="9">
        <v>129041.0606</v>
      </c>
      <c r="M56" s="9">
        <v>36777.97638</v>
      </c>
      <c r="N56" s="9">
        <v>264.22704340000001</v>
      </c>
      <c r="O56" s="9">
        <v>1.438250059</v>
      </c>
      <c r="P56" s="9">
        <v>1.0099999999999999E-8</v>
      </c>
      <c r="Q56" s="9">
        <v>9.4421800000000003E-4</v>
      </c>
      <c r="R56" s="9">
        <v>1.316761E-2</v>
      </c>
      <c r="S56" s="9">
        <v>33</v>
      </c>
      <c r="T56" s="9">
        <v>1</v>
      </c>
      <c r="U56" s="9">
        <v>15.21726934</v>
      </c>
      <c r="V56" s="9">
        <v>6.4933198159999996</v>
      </c>
      <c r="W56" s="9">
        <v>279838</v>
      </c>
      <c r="X56" s="9">
        <v>16.573526749999999</v>
      </c>
      <c r="Y56" s="9">
        <v>515</v>
      </c>
      <c r="Z56" s="9">
        <v>4.7378826509999996</v>
      </c>
      <c r="AA56" s="9">
        <v>1063</v>
      </c>
      <c r="AB56" s="9">
        <v>54</v>
      </c>
      <c r="AC56" s="9">
        <v>3.5675327489794402</v>
      </c>
      <c r="AD56" s="9">
        <v>185.58224105834901</v>
      </c>
      <c r="AE56" s="9">
        <v>35.477203369140597</v>
      </c>
      <c r="AF56" s="9">
        <v>-2021.3559115765099</v>
      </c>
      <c r="AG56" s="9">
        <v>-2021.3559115765099</v>
      </c>
      <c r="AH56" s="9">
        <v>125.898223365619</v>
      </c>
      <c r="AI56" s="9">
        <v>-2021.3566517029601</v>
      </c>
      <c r="AJ56" s="10">
        <v>5.5347812878168E-5</v>
      </c>
      <c r="AK56" s="9">
        <v>791</v>
      </c>
      <c r="AL56" s="9">
        <v>737</v>
      </c>
      <c r="AM56" s="9">
        <v>851</v>
      </c>
      <c r="AN56" s="9">
        <v>19.644266418996601</v>
      </c>
      <c r="AO56" s="9">
        <v>51.873942757009701</v>
      </c>
      <c r="AP56" s="9">
        <f t="shared" si="0"/>
        <v>1.7149492584531476</v>
      </c>
      <c r="AQ56" s="9">
        <v>1.4699332894228401</v>
      </c>
      <c r="AR56" s="9">
        <v>35.477203369140597</v>
      </c>
      <c r="AS56" s="9">
        <v>17.053668796942802</v>
      </c>
      <c r="AT56" s="9">
        <v>22.737461078255201</v>
      </c>
      <c r="AU56" s="9">
        <v>41.958723910584098</v>
      </c>
      <c r="AV56" s="9">
        <f t="shared" si="1"/>
        <v>1.6228222715372718</v>
      </c>
      <c r="AW56" s="9">
        <v>64.596425741091295</v>
      </c>
      <c r="AX56" s="9">
        <f t="shared" si="2"/>
        <v>1.8102084882138818</v>
      </c>
      <c r="AY56" s="9">
        <v>1.1889692932495499</v>
      </c>
      <c r="AZ56" s="9">
        <v>1.83044572145482</v>
      </c>
      <c r="BA56" s="9">
        <v>35.477203369140597</v>
      </c>
      <c r="BB56" s="9">
        <v>35.477203369140597</v>
      </c>
      <c r="BC56" s="9" t="s">
        <v>134</v>
      </c>
      <c r="BD56" s="9" t="s">
        <v>134</v>
      </c>
    </row>
    <row r="57" spans="1:56" ht="31.5" x14ac:dyDescent="0.25">
      <c r="A57" s="6" t="s">
        <v>128</v>
      </c>
      <c r="B57" s="25" t="s">
        <v>136</v>
      </c>
      <c r="C57" s="7" t="s">
        <v>270</v>
      </c>
      <c r="D57" s="8" t="s">
        <v>135</v>
      </c>
      <c r="E57" s="9">
        <v>0</v>
      </c>
      <c r="F57" s="9">
        <v>1</v>
      </c>
      <c r="G57" s="9">
        <v>23</v>
      </c>
      <c r="H57" s="9">
        <v>32</v>
      </c>
      <c r="I57" s="9">
        <v>11.379989593648499</v>
      </c>
      <c r="J57" s="9">
        <v>37357</v>
      </c>
      <c r="K57" s="9">
        <v>10681</v>
      </c>
      <c r="L57" s="9">
        <v>31316.391299999999</v>
      </c>
      <c r="M57" s="9">
        <v>8369.8209310000002</v>
      </c>
      <c r="N57" s="9">
        <v>121.1565715</v>
      </c>
      <c r="O57" s="9">
        <v>1.386522429</v>
      </c>
      <c r="P57" s="9">
        <v>1.28E-8</v>
      </c>
      <c r="Q57" s="9">
        <v>1.877931E-3</v>
      </c>
      <c r="R57" s="9">
        <v>2.1223691999999999E-2</v>
      </c>
      <c r="S57" s="9">
        <v>23</v>
      </c>
      <c r="T57" s="9">
        <v>1</v>
      </c>
      <c r="U57" s="9">
        <v>11.16431583</v>
      </c>
      <c r="V57" s="9">
        <v>4.4969369920000002</v>
      </c>
      <c r="W57" s="9">
        <v>64517</v>
      </c>
      <c r="X57" s="9">
        <v>10.7788886</v>
      </c>
      <c r="Y57" s="9">
        <v>256</v>
      </c>
      <c r="Z57" s="9">
        <v>3.6811058970000001</v>
      </c>
      <c r="AA57" s="9">
        <v>154</v>
      </c>
      <c r="AB57" s="9">
        <v>18</v>
      </c>
      <c r="AC57" s="9">
        <v>1.36961230816666E-2</v>
      </c>
      <c r="AD57" s="9">
        <v>153.880165100097</v>
      </c>
      <c r="AE57" s="9">
        <v>1.3283042907714799</v>
      </c>
      <c r="AF57" s="9">
        <v>-2208.9902859796998</v>
      </c>
      <c r="AG57" s="9">
        <v>-2208.9902859796998</v>
      </c>
      <c r="AH57" s="9">
        <v>0.308299708619444</v>
      </c>
      <c r="AI57" s="9">
        <v>-2208.9904913720202</v>
      </c>
      <c r="AJ57" s="10">
        <v>7.1635387893999203E-5</v>
      </c>
      <c r="AK57" s="9">
        <v>68</v>
      </c>
      <c r="AL57" s="9">
        <v>65</v>
      </c>
      <c r="AM57" s="9">
        <v>71</v>
      </c>
      <c r="AN57" s="9">
        <v>0.25898461125515798</v>
      </c>
      <c r="AO57" s="9">
        <v>2.6542247214502799E-2</v>
      </c>
      <c r="AP57" s="9">
        <f t="shared" si="0"/>
        <v>-1.5760623101248519</v>
      </c>
      <c r="AQ57" s="9">
        <v>1.1791314573137599E-3</v>
      </c>
      <c r="AR57" s="9">
        <v>1.3283042907714799</v>
      </c>
      <c r="AS57" s="9">
        <v>0.236637106953513</v>
      </c>
      <c r="AT57" s="9">
        <v>0.28234027364559999</v>
      </c>
      <c r="AU57" s="9">
        <v>2.3182006415640999E-2</v>
      </c>
      <c r="AV57" s="9">
        <f t="shared" si="1"/>
        <v>-1.6348489783149942</v>
      </c>
      <c r="AW57" s="9">
        <v>3.02124537031534E-2</v>
      </c>
      <c r="AX57" s="9">
        <f t="shared" si="2"/>
        <v>-1.5198140020863342</v>
      </c>
      <c r="AY57" s="9">
        <v>1.0298537568211601E-3</v>
      </c>
      <c r="AZ57" s="9">
        <v>1.34217929160717E-3</v>
      </c>
      <c r="BA57" s="9">
        <v>1.3283042907714799</v>
      </c>
      <c r="BB57" s="9">
        <v>1.3283042907714799</v>
      </c>
      <c r="BC57" s="9" t="s">
        <v>137</v>
      </c>
      <c r="BD57" s="9" t="s">
        <v>137</v>
      </c>
    </row>
    <row r="58" spans="1:56" ht="31.5" x14ac:dyDescent="0.25">
      <c r="A58" s="6" t="s">
        <v>128</v>
      </c>
      <c r="B58" s="25" t="s">
        <v>136</v>
      </c>
      <c r="C58" s="7" t="s">
        <v>271</v>
      </c>
      <c r="D58" s="8" t="s">
        <v>138</v>
      </c>
      <c r="E58" s="9">
        <v>0</v>
      </c>
      <c r="F58" s="9">
        <v>1</v>
      </c>
      <c r="G58" s="9">
        <v>45</v>
      </c>
      <c r="H58" s="9">
        <v>62</v>
      </c>
      <c r="I58" s="9">
        <v>23.189898593804401</v>
      </c>
      <c r="J58" s="9">
        <v>532615</v>
      </c>
      <c r="K58" s="9">
        <v>85245</v>
      </c>
      <c r="L58" s="9">
        <v>437458.6</v>
      </c>
      <c r="M58" s="9">
        <v>129806.0113</v>
      </c>
      <c r="N58" s="9">
        <v>543.74437550000005</v>
      </c>
      <c r="O58" s="9">
        <v>2.0781143700000002</v>
      </c>
      <c r="P58" s="9">
        <v>1E-8</v>
      </c>
      <c r="Q58" s="9">
        <v>5.5375800000000001E-4</v>
      </c>
      <c r="R58" s="9">
        <v>1.1059332999999999E-2</v>
      </c>
      <c r="S58" s="9">
        <v>45</v>
      </c>
      <c r="T58" s="9">
        <v>1</v>
      </c>
      <c r="U58" s="9">
        <v>20.048168019999999</v>
      </c>
      <c r="V58" s="9">
        <v>8.8928829589999996</v>
      </c>
      <c r="W58" s="9">
        <v>981918</v>
      </c>
      <c r="X58" s="9">
        <v>22.444763479999999</v>
      </c>
      <c r="Y58" s="9">
        <v>740</v>
      </c>
      <c r="Z58" s="9">
        <v>5.2375350689999998</v>
      </c>
      <c r="AA58" s="9">
        <v>659</v>
      </c>
      <c r="AB58" s="9">
        <v>61</v>
      </c>
      <c r="AC58" s="9">
        <v>3.9260138389383301</v>
      </c>
      <c r="AD58" s="9">
        <v>177.33653259277301</v>
      </c>
      <c r="AE58" s="9">
        <v>27.077842712402301</v>
      </c>
      <c r="AF58" s="9">
        <v>-2209.1613539887098</v>
      </c>
      <c r="AG58" s="9">
        <v>-2209.1613539887098</v>
      </c>
      <c r="AH58" s="9">
        <v>132.287290019831</v>
      </c>
      <c r="AI58" s="9">
        <v>-2209.1635804201601</v>
      </c>
      <c r="AJ58" s="10">
        <v>6.1272826481696197E-5</v>
      </c>
      <c r="AK58" s="9">
        <v>1235</v>
      </c>
      <c r="AL58" s="9">
        <v>1177</v>
      </c>
      <c r="AM58" s="9">
        <v>1296</v>
      </c>
      <c r="AN58" s="9">
        <v>95.0992621160581</v>
      </c>
      <c r="AO58" s="9">
        <v>870.68838055213098</v>
      </c>
      <c r="AP58" s="9">
        <f t="shared" si="0"/>
        <v>2.9398627487827396</v>
      </c>
      <c r="AQ58" s="9">
        <v>25.840234771896899</v>
      </c>
      <c r="AR58" s="9">
        <v>95.0992621160581</v>
      </c>
      <c r="AS58" s="9">
        <v>86.376610459425095</v>
      </c>
      <c r="AT58" s="9">
        <v>104.725691119884</v>
      </c>
      <c r="AU58" s="9">
        <v>753.68741673745001</v>
      </c>
      <c r="AV58" s="9">
        <f t="shared" si="1"/>
        <v>2.8771912645259903</v>
      </c>
      <c r="AW58" s="9">
        <v>1006.18278033118</v>
      </c>
      <c r="AX58" s="9">
        <f t="shared" si="2"/>
        <v>3.0026768805994086</v>
      </c>
      <c r="AY58" s="9">
        <v>22.3678875567056</v>
      </c>
      <c r="AZ58" s="9">
        <v>29.861429011732401</v>
      </c>
      <c r="BA58" s="9">
        <v>86.376610459425095</v>
      </c>
      <c r="BB58" s="9">
        <v>104.725691119884</v>
      </c>
      <c r="BC58" s="9" t="s">
        <v>139</v>
      </c>
      <c r="BD58" s="9" t="s">
        <v>139</v>
      </c>
    </row>
    <row r="59" spans="1:56" ht="31.5" x14ac:dyDescent="0.25">
      <c r="A59" s="6" t="s">
        <v>128</v>
      </c>
      <c r="B59" s="25" t="s">
        <v>141</v>
      </c>
      <c r="C59" s="7" t="s">
        <v>272</v>
      </c>
      <c r="D59" s="8" t="s">
        <v>140</v>
      </c>
      <c r="E59" s="9">
        <v>0</v>
      </c>
      <c r="F59" s="9">
        <v>1</v>
      </c>
      <c r="G59" s="9">
        <v>21</v>
      </c>
      <c r="H59" s="9">
        <v>28</v>
      </c>
      <c r="I59" s="9">
        <v>10.7231290408986</v>
      </c>
      <c r="J59" s="9">
        <v>26089</v>
      </c>
      <c r="K59" s="9">
        <v>8041</v>
      </c>
      <c r="L59" s="9">
        <v>21949</v>
      </c>
      <c r="M59" s="9">
        <v>5748.4512199999999</v>
      </c>
      <c r="N59" s="9">
        <v>100.37183779999999</v>
      </c>
      <c r="O59" s="9">
        <v>1.2527482489999999</v>
      </c>
      <c r="P59" s="9">
        <v>1.0600000000000001E-8</v>
      </c>
      <c r="Q59" s="9">
        <v>2.2534709999999999E-3</v>
      </c>
      <c r="R59" s="9">
        <v>2.0716331000000001E-2</v>
      </c>
      <c r="S59" s="9">
        <v>21</v>
      </c>
      <c r="T59" s="9">
        <v>1</v>
      </c>
      <c r="U59" s="9">
        <v>10.348420559999999</v>
      </c>
      <c r="V59" s="9">
        <v>4.0991666230000003</v>
      </c>
      <c r="W59" s="9">
        <v>44542</v>
      </c>
      <c r="X59" s="9">
        <v>10.13101005</v>
      </c>
      <c r="Y59" s="9">
        <v>227</v>
      </c>
      <c r="Z59" s="9">
        <v>3.1428219899999998</v>
      </c>
      <c r="AA59" s="9">
        <v>85</v>
      </c>
      <c r="AB59" s="9">
        <v>17</v>
      </c>
      <c r="AC59" s="9">
        <v>8.3938479727777692E-3</v>
      </c>
      <c r="AD59" s="9">
        <v>153.96504211425699</v>
      </c>
      <c r="AE59" s="9">
        <v>1.05873870849609</v>
      </c>
      <c r="AF59" s="9">
        <v>-2402.0403068523901</v>
      </c>
      <c r="AG59" s="9">
        <v>-2402.0403068523901</v>
      </c>
      <c r="AH59" s="9">
        <v>0.144726413685</v>
      </c>
      <c r="AI59" s="9">
        <v>-2402.0405065648602</v>
      </c>
      <c r="AJ59" s="10">
        <v>1.48790529950088E-5</v>
      </c>
      <c r="AK59" s="9">
        <v>39</v>
      </c>
      <c r="AL59" s="9">
        <v>36</v>
      </c>
      <c r="AM59" s="9">
        <v>42</v>
      </c>
      <c r="AN59" s="9">
        <v>0.22288464714499001</v>
      </c>
      <c r="AO59" s="9">
        <v>1.39792813081709E-2</v>
      </c>
      <c r="AP59" s="9">
        <f t="shared" si="0"/>
        <v>-1.8545151556231532</v>
      </c>
      <c r="AQ59" s="9">
        <v>8.1077088198201503E-4</v>
      </c>
      <c r="AR59" s="9">
        <v>1.05873870849609</v>
      </c>
      <c r="AS59" s="9">
        <v>0.189913545496323</v>
      </c>
      <c r="AT59" s="9">
        <v>0.25849343692555099</v>
      </c>
      <c r="AU59" s="9">
        <v>1.0995083341155801E-2</v>
      </c>
      <c r="AV59" s="9">
        <f t="shared" si="1"/>
        <v>-1.9588014744007893</v>
      </c>
      <c r="AW59" s="9">
        <v>1.7459785120446599E-2</v>
      </c>
      <c r="AX59" s="9">
        <f t="shared" si="2"/>
        <v>-1.7579611055089468</v>
      </c>
      <c r="AY59" s="9">
        <v>6.3769325628808401E-4</v>
      </c>
      <c r="AZ59" s="9">
        <v>1.0126332727167201E-3</v>
      </c>
      <c r="BA59" s="9">
        <v>1.05873870849609</v>
      </c>
      <c r="BB59" s="9">
        <v>1.05873870849609</v>
      </c>
      <c r="BC59" s="9" t="s">
        <v>142</v>
      </c>
      <c r="BD59" s="9" t="s">
        <v>142</v>
      </c>
    </row>
    <row r="60" spans="1:56" ht="31.5" x14ac:dyDescent="0.25">
      <c r="A60" s="6" t="s">
        <v>128</v>
      </c>
      <c r="B60" s="25" t="s">
        <v>141</v>
      </c>
      <c r="C60" s="7" t="s">
        <v>273</v>
      </c>
      <c r="D60" s="8" t="s">
        <v>143</v>
      </c>
      <c r="E60" s="9">
        <v>0</v>
      </c>
      <c r="F60" s="9">
        <v>1</v>
      </c>
      <c r="G60" s="9">
        <v>42</v>
      </c>
      <c r="H60" s="9">
        <v>56</v>
      </c>
      <c r="I60" s="9">
        <v>22.184374411763802</v>
      </c>
      <c r="J60" s="9">
        <v>405126</v>
      </c>
      <c r="K60" s="9">
        <v>68986</v>
      </c>
      <c r="L60" s="9">
        <v>333310.85710000002</v>
      </c>
      <c r="M60" s="9">
        <v>98116.928270000004</v>
      </c>
      <c r="N60" s="9">
        <v>491.16499959999999</v>
      </c>
      <c r="O60" s="9">
        <v>1.7035674540000001</v>
      </c>
      <c r="P60" s="9">
        <v>1.02E-8</v>
      </c>
      <c r="Q60" s="9">
        <v>6.61095E-4</v>
      </c>
      <c r="R60" s="9">
        <v>1.0578396E-2</v>
      </c>
      <c r="S60" s="9">
        <v>42</v>
      </c>
      <c r="T60" s="9">
        <v>1</v>
      </c>
      <c r="U60" s="9">
        <v>18.842350230000001</v>
      </c>
      <c r="V60" s="9">
        <v>8.2928423559999995</v>
      </c>
      <c r="W60" s="9">
        <v>742958</v>
      </c>
      <c r="X60" s="9">
        <v>21.44625808</v>
      </c>
      <c r="Y60" s="9">
        <v>714</v>
      </c>
      <c r="Z60" s="9">
        <v>5.2406025400000003</v>
      </c>
      <c r="AA60" s="9">
        <v>659</v>
      </c>
      <c r="AB60" s="9">
        <v>67</v>
      </c>
      <c r="AC60" s="9">
        <v>3.4634715947316601</v>
      </c>
      <c r="AD60" s="9">
        <v>174.89218521118099</v>
      </c>
      <c r="AE60" s="9">
        <v>24.484184265136701</v>
      </c>
      <c r="AF60" s="9">
        <v>-2402.2167700083201</v>
      </c>
      <c r="AG60" s="9">
        <v>-2402.2167700083201</v>
      </c>
      <c r="AH60" s="9">
        <v>121.57166602623801</v>
      </c>
      <c r="AI60" s="9">
        <v>-2402.2194945042002</v>
      </c>
      <c r="AJ60" s="10">
        <v>9.8026727786849002E-5</v>
      </c>
      <c r="AK60" s="9">
        <v>1543</v>
      </c>
      <c r="AL60" s="9">
        <v>1476</v>
      </c>
      <c r="AM60" s="9">
        <v>1614</v>
      </c>
      <c r="AN60" s="9">
        <v>134.22909504092101</v>
      </c>
      <c r="AO60" s="9">
        <v>1560.5363984621399</v>
      </c>
      <c r="AP60" s="9">
        <f t="shared" si="0"/>
        <v>3.1932739027462436</v>
      </c>
      <c r="AQ60" s="9">
        <v>44.458331988737797</v>
      </c>
      <c r="AR60" s="9">
        <v>134.22909504092101</v>
      </c>
      <c r="AS60" s="9">
        <v>122.825212753043</v>
      </c>
      <c r="AT60" s="9">
        <v>146.866204309983</v>
      </c>
      <c r="AU60" s="9">
        <v>1365.9512409148499</v>
      </c>
      <c r="AV60" s="9">
        <f t="shared" si="1"/>
        <v>3.1354351970178671</v>
      </c>
      <c r="AW60" s="9">
        <v>1786.0216362247299</v>
      </c>
      <c r="AX60" s="9">
        <f t="shared" si="2"/>
        <v>3.2518867157149542</v>
      </c>
      <c r="AY60" s="9">
        <v>38.914769183766701</v>
      </c>
      <c r="AZ60" s="9">
        <v>50.882211347711802</v>
      </c>
      <c r="BA60" s="9">
        <v>122.825212753043</v>
      </c>
      <c r="BB60" s="9">
        <v>146.866204309983</v>
      </c>
      <c r="BC60" s="9" t="s">
        <v>144</v>
      </c>
      <c r="BD60" s="9" t="s">
        <v>144</v>
      </c>
    </row>
    <row r="61" spans="1:56" ht="31.5" x14ac:dyDescent="0.25">
      <c r="A61" s="6" t="s">
        <v>128</v>
      </c>
      <c r="B61" s="25" t="s">
        <v>180</v>
      </c>
      <c r="C61" s="7" t="s">
        <v>274</v>
      </c>
      <c r="D61" s="8" t="s">
        <v>179</v>
      </c>
      <c r="E61" s="9">
        <v>0</v>
      </c>
      <c r="F61" s="9">
        <v>1</v>
      </c>
      <c r="G61" s="9">
        <v>6</v>
      </c>
      <c r="H61" s="9">
        <v>8</v>
      </c>
      <c r="I61" s="9">
        <v>2.69460519893356</v>
      </c>
      <c r="J61" s="9">
        <v>80</v>
      </c>
      <c r="K61" s="9">
        <v>48</v>
      </c>
      <c r="L61" s="9">
        <v>61.333333330000002</v>
      </c>
      <c r="M61" s="9">
        <v>13.59738537</v>
      </c>
      <c r="N61" s="9">
        <v>7.8528714659999999</v>
      </c>
      <c r="O61" s="9">
        <v>1.2984653639999999</v>
      </c>
      <c r="P61" s="9">
        <v>1.18E-7</v>
      </c>
      <c r="Q61" s="9">
        <v>7.2044691999999994E-2</v>
      </c>
      <c r="R61" s="9">
        <v>0.182771188</v>
      </c>
      <c r="S61" s="9">
        <v>6</v>
      </c>
      <c r="T61" s="9">
        <v>1</v>
      </c>
      <c r="U61" s="9">
        <v>3.3761467889999999</v>
      </c>
      <c r="V61" s="9">
        <v>1.269175784</v>
      </c>
      <c r="W61" s="9">
        <v>110</v>
      </c>
      <c r="X61" s="9">
        <v>2.3521825180000002</v>
      </c>
      <c r="Y61" s="9">
        <v>20</v>
      </c>
      <c r="Z61" s="9">
        <v>2.7029818259999998</v>
      </c>
      <c r="AA61" s="9">
        <v>25</v>
      </c>
      <c r="AB61" s="9">
        <v>40</v>
      </c>
      <c r="AC61" s="9">
        <v>6.4397765444444395E-4</v>
      </c>
      <c r="AD61" s="9">
        <v>0.13077163696288999</v>
      </c>
      <c r="AE61" s="9">
        <v>1.47247314453125E-3</v>
      </c>
      <c r="AF61" s="9">
        <v>-187.721419803733</v>
      </c>
      <c r="AG61" s="9">
        <v>-187.721419803733</v>
      </c>
      <c r="AH61" s="9">
        <v>1.32130291033333E-2</v>
      </c>
      <c r="AI61" s="9">
        <v>-187.721413991188</v>
      </c>
      <c r="AJ61" s="10">
        <v>1.8305870563903299E-5</v>
      </c>
      <c r="AK61" s="9">
        <v>5</v>
      </c>
      <c r="AL61" s="9">
        <v>4</v>
      </c>
      <c r="AM61" s="9">
        <v>6</v>
      </c>
      <c r="AN61" s="10">
        <v>5.8898925781249998E-5</v>
      </c>
      <c r="AO61" s="9">
        <v>1.05704232826666E-4</v>
      </c>
      <c r="AP61" s="9">
        <f t="shared" si="0"/>
        <v>-3.9759076214299718</v>
      </c>
      <c r="AQ61" s="10">
        <v>5.1518212355555499E-6</v>
      </c>
      <c r="AR61" s="9">
        <v>1.47247314453125E-3</v>
      </c>
      <c r="AS61" s="10">
        <v>3.7695312500000002E-5</v>
      </c>
      <c r="AT61" s="10">
        <v>8.4814453124999997E-5</v>
      </c>
      <c r="AU61" s="10">
        <v>5.4120567207253297E-5</v>
      </c>
      <c r="AV61" s="9">
        <f t="shared" si="1"/>
        <v>-4.2666376604541387</v>
      </c>
      <c r="AW61" s="9">
        <v>1.8265691432447999E-4</v>
      </c>
      <c r="AX61" s="9">
        <f t="shared" si="2"/>
        <v>-3.7383638832870942</v>
      </c>
      <c r="AY61" s="10">
        <v>2.63773247260444E-6</v>
      </c>
      <c r="AZ61" s="10">
        <v>8.90234709504E-6</v>
      </c>
      <c r="BA61" s="9">
        <v>1.47247314453125E-3</v>
      </c>
      <c r="BB61" s="9">
        <v>1.47247314453125E-3</v>
      </c>
      <c r="BC61" s="9" t="s">
        <v>182</v>
      </c>
      <c r="BD61" s="9" t="s">
        <v>181</v>
      </c>
    </row>
    <row r="62" spans="1:56" ht="31.5" x14ac:dyDescent="0.25">
      <c r="A62" s="6" t="s">
        <v>128</v>
      </c>
      <c r="B62" s="25" t="s">
        <v>128</v>
      </c>
      <c r="C62" s="7" t="s">
        <v>275</v>
      </c>
      <c r="D62" s="8" t="s">
        <v>183</v>
      </c>
      <c r="E62" s="9">
        <v>0</v>
      </c>
      <c r="F62" s="9">
        <v>1</v>
      </c>
      <c r="G62" s="9">
        <v>12</v>
      </c>
      <c r="H62" s="9">
        <v>16</v>
      </c>
      <c r="I62" s="9">
        <v>5.8665655529462404</v>
      </c>
      <c r="J62" s="9">
        <v>2866</v>
      </c>
      <c r="K62" s="9">
        <v>1354</v>
      </c>
      <c r="L62" s="9">
        <v>2476</v>
      </c>
      <c r="M62" s="9">
        <v>544.85594430000003</v>
      </c>
      <c r="N62" s="9">
        <v>26.21965174</v>
      </c>
      <c r="O62" s="9">
        <v>0.80768613</v>
      </c>
      <c r="P62" s="9">
        <v>4.73E-8</v>
      </c>
      <c r="Q62" s="9">
        <v>5.8265890000000001E-3</v>
      </c>
      <c r="R62" s="9">
        <v>3.5669465999999997E-2</v>
      </c>
      <c r="S62" s="9">
        <v>12</v>
      </c>
      <c r="T62" s="9">
        <v>1</v>
      </c>
      <c r="U62" s="9">
        <v>6.6026666670000003</v>
      </c>
      <c r="V62" s="9">
        <v>2.3288322300000002</v>
      </c>
      <c r="W62" s="9">
        <v>4501</v>
      </c>
      <c r="X62" s="9">
        <v>5.3892103980000003</v>
      </c>
      <c r="Y62" s="9">
        <v>78</v>
      </c>
      <c r="Z62" s="9">
        <v>3.133517538</v>
      </c>
      <c r="AA62" s="9">
        <v>40</v>
      </c>
      <c r="AB62" s="9">
        <v>40</v>
      </c>
      <c r="AC62" s="9">
        <v>3.1928845911111101E-3</v>
      </c>
      <c r="AD62" s="9">
        <v>156.33811187744101</v>
      </c>
      <c r="AE62" s="9">
        <v>0.27755355834960899</v>
      </c>
      <c r="AF62" s="9">
        <v>-2021.1755818409999</v>
      </c>
      <c r="AG62" s="9">
        <v>-2021.1755818409999</v>
      </c>
      <c r="AH62" s="9">
        <v>6.9454067763611099E-2</v>
      </c>
      <c r="AI62" s="9">
        <v>-2021.1755945299601</v>
      </c>
      <c r="AJ62" s="10">
        <v>1.1666864373037699E-5</v>
      </c>
      <c r="AK62" s="9">
        <v>9</v>
      </c>
      <c r="AL62" s="9">
        <v>8</v>
      </c>
      <c r="AM62" s="9">
        <v>11</v>
      </c>
      <c r="AN62" s="9">
        <v>1.40511488914489E-2</v>
      </c>
      <c r="AO62" s="9">
        <v>7.9112524061988204E-4</v>
      </c>
      <c r="AP62" s="9">
        <f t="shared" si="0"/>
        <v>-3.1017547592271821</v>
      </c>
      <c r="AQ62" s="10">
        <v>3.6368951045624999E-5</v>
      </c>
      <c r="AR62" s="9">
        <v>0.27755355834960899</v>
      </c>
      <c r="AS62" s="9">
        <v>1.1102142333984299E-2</v>
      </c>
      <c r="AT62" s="9">
        <v>2.0989987850189198E-2</v>
      </c>
      <c r="AU62" s="9">
        <v>5.5563254210888905E-4</v>
      </c>
      <c r="AV62" s="9">
        <f t="shared" si="1"/>
        <v>-3.2552123265693256</v>
      </c>
      <c r="AW62" s="9">
        <v>1.4444275655213501E-3</v>
      </c>
      <c r="AX62" s="9">
        <f t="shared" si="2"/>
        <v>-2.8403042320704812</v>
      </c>
      <c r="AY62" s="10">
        <v>2.5543076728888799E-5</v>
      </c>
      <c r="AZ62" s="10">
        <v>6.6402021730763895E-5</v>
      </c>
      <c r="BA62" s="9">
        <v>0.27755355834960899</v>
      </c>
      <c r="BB62" s="9">
        <v>0.27755355834960899</v>
      </c>
      <c r="BC62" s="9" t="s">
        <v>185</v>
      </c>
      <c r="BD62" s="9" t="s">
        <v>184</v>
      </c>
    </row>
    <row r="63" spans="1:56" ht="31.5" x14ac:dyDescent="0.25">
      <c r="A63" s="6" t="s">
        <v>119</v>
      </c>
      <c r="B63" s="25" t="s">
        <v>120</v>
      </c>
      <c r="C63" s="7" t="s">
        <v>276</v>
      </c>
      <c r="D63" s="8" t="s">
        <v>118</v>
      </c>
      <c r="E63" s="9">
        <v>2</v>
      </c>
      <c r="F63" s="9">
        <v>3</v>
      </c>
      <c r="G63" s="9">
        <v>10</v>
      </c>
      <c r="H63" s="9">
        <v>10</v>
      </c>
      <c r="I63" s="9">
        <v>5.2665985511241198</v>
      </c>
      <c r="J63" s="9">
        <v>1140</v>
      </c>
      <c r="K63" s="9">
        <v>596</v>
      </c>
      <c r="L63" s="9">
        <v>981.8</v>
      </c>
      <c r="M63" s="9">
        <v>199.56041690000001</v>
      </c>
      <c r="N63" s="9">
        <v>15.23157542</v>
      </c>
      <c r="O63" s="9">
        <v>0.78146833400000004</v>
      </c>
      <c r="P63" s="9">
        <v>1.3399999999999999E-8</v>
      </c>
      <c r="Q63" s="9">
        <v>8.7487510000000008E-3</v>
      </c>
      <c r="R63" s="9">
        <v>4.3530276E-2</v>
      </c>
      <c r="S63" s="9">
        <v>10</v>
      </c>
      <c r="T63" s="9">
        <v>1</v>
      </c>
      <c r="U63" s="9">
        <v>5.6392877659999998</v>
      </c>
      <c r="V63" s="9">
        <v>1.9950358720000001</v>
      </c>
      <c r="W63" s="9">
        <v>1742</v>
      </c>
      <c r="X63" s="9">
        <v>4.7236198360000001</v>
      </c>
      <c r="Y63" s="9">
        <v>55</v>
      </c>
      <c r="Z63" s="9">
        <v>3.4451802410000001</v>
      </c>
      <c r="AA63" s="9">
        <v>27</v>
      </c>
      <c r="AB63" s="9">
        <v>13</v>
      </c>
      <c r="AC63" s="9">
        <v>1.43056385E-3</v>
      </c>
      <c r="AD63" s="9">
        <v>153.79943847656199</v>
      </c>
      <c r="AE63" s="9">
        <v>0.43726730346679599</v>
      </c>
      <c r="AF63" s="9">
        <v>-1796.94503553651</v>
      </c>
      <c r="AG63" s="9">
        <v>-1796.94503553651</v>
      </c>
      <c r="AH63" s="9">
        <v>1.7542183259444399E-2</v>
      </c>
      <c r="AI63" s="9">
        <v>-1796.94521726886</v>
      </c>
      <c r="AJ63" s="10">
        <v>7.7719567052642003E-5</v>
      </c>
      <c r="AK63" s="9">
        <v>15</v>
      </c>
      <c r="AL63" s="9">
        <v>11</v>
      </c>
      <c r="AM63" s="9">
        <v>22</v>
      </c>
      <c r="AN63" s="9">
        <v>0.13495904427987501</v>
      </c>
      <c r="AO63" s="9">
        <v>3.0079189402339502E-3</v>
      </c>
      <c r="AP63" s="9">
        <f t="shared" si="0"/>
        <v>-2.5217338716320725</v>
      </c>
      <c r="AQ63" s="9">
        <v>2.4529558470507502E-4</v>
      </c>
      <c r="AR63" s="9">
        <v>0.43726730346679599</v>
      </c>
      <c r="AS63" s="9">
        <v>7.2577974923844199E-2</v>
      </c>
      <c r="AT63" s="9">
        <v>0.29031189969537602</v>
      </c>
      <c r="AU63" s="9">
        <v>1.18623410650411E-3</v>
      </c>
      <c r="AV63" s="9">
        <f t="shared" si="1"/>
        <v>-2.9258295933244431</v>
      </c>
      <c r="AW63" s="9">
        <v>9.4898728520329406E-3</v>
      </c>
      <c r="AX63" s="9">
        <f t="shared" si="2"/>
        <v>-2.0227396063324967</v>
      </c>
      <c r="AY63" s="10">
        <v>9.6737310590357096E-5</v>
      </c>
      <c r="AZ63" s="9">
        <v>7.7389848472285698E-4</v>
      </c>
      <c r="BA63" s="9">
        <v>0.43726730346679599</v>
      </c>
      <c r="BB63" s="9">
        <v>0.43726730346679599</v>
      </c>
      <c r="BC63" s="9" t="s">
        <v>121</v>
      </c>
      <c r="BD63" s="9" t="s">
        <v>121</v>
      </c>
    </row>
    <row r="64" spans="1:56" ht="31.5" x14ac:dyDescent="0.25">
      <c r="A64" s="6" t="s">
        <v>119</v>
      </c>
      <c r="B64" s="25" t="s">
        <v>120</v>
      </c>
      <c r="C64" s="7" t="s">
        <v>277</v>
      </c>
      <c r="D64" s="8" t="s">
        <v>122</v>
      </c>
      <c r="E64" s="9">
        <v>2</v>
      </c>
      <c r="F64" s="9">
        <v>3</v>
      </c>
      <c r="G64" s="9">
        <v>36</v>
      </c>
      <c r="H64" s="9">
        <v>58</v>
      </c>
      <c r="I64" s="9">
        <v>14.4754159413982</v>
      </c>
      <c r="J64" s="9">
        <v>201090</v>
      </c>
      <c r="K64" s="9">
        <v>38032</v>
      </c>
      <c r="L64" s="9">
        <v>164534.1667</v>
      </c>
      <c r="M64" s="9">
        <v>48307.657650000001</v>
      </c>
      <c r="N64" s="9">
        <v>290.99737160000001</v>
      </c>
      <c r="O64" s="9">
        <v>3.0203067940000001</v>
      </c>
      <c r="P64" s="9">
        <v>1E-8</v>
      </c>
      <c r="Q64" s="9">
        <v>8.0103200000000002E-4</v>
      </c>
      <c r="R64" s="9">
        <v>2.6336241999999999E-2</v>
      </c>
      <c r="S64" s="9">
        <v>36</v>
      </c>
      <c r="T64" s="9">
        <v>1</v>
      </c>
      <c r="U64" s="9">
        <v>16.304951030000002</v>
      </c>
      <c r="V64" s="9">
        <v>7.1017427059999996</v>
      </c>
      <c r="W64" s="9">
        <v>363279</v>
      </c>
      <c r="X64" s="9">
        <v>14.402439599999999</v>
      </c>
      <c r="Y64" s="9">
        <v>585</v>
      </c>
      <c r="Z64" s="9">
        <v>6.1742693370000001</v>
      </c>
      <c r="AA64" s="9">
        <v>966</v>
      </c>
      <c r="AB64" s="9">
        <v>39</v>
      </c>
      <c r="AC64" s="9">
        <v>3.16592398482722</v>
      </c>
      <c r="AD64" s="9">
        <v>194.760486602783</v>
      </c>
      <c r="AE64" s="9">
        <v>44.496318817138601</v>
      </c>
      <c r="AF64" s="9">
        <v>-1797.3703707106299</v>
      </c>
      <c r="AG64" s="9">
        <v>-1797.3703707106299</v>
      </c>
      <c r="AH64" s="9">
        <v>111.754255383939</v>
      </c>
      <c r="AI64" s="9">
        <v>-1797.3714533509799</v>
      </c>
      <c r="AJ64" s="9">
        <v>1.0659151641828601E-4</v>
      </c>
      <c r="AK64" s="9">
        <v>1012</v>
      </c>
      <c r="AL64" s="9">
        <v>968</v>
      </c>
      <c r="AM64" s="9">
        <v>1059</v>
      </c>
      <c r="AN64" s="9">
        <v>48.834962148514997</v>
      </c>
      <c r="AO64" s="9">
        <v>128.491449230988</v>
      </c>
      <c r="AP64" s="9">
        <f t="shared" si="0"/>
        <v>2.1088742274699688</v>
      </c>
      <c r="AQ64" s="9">
        <v>3.6400775931800302</v>
      </c>
      <c r="AR64" s="9">
        <v>48.834962148514997</v>
      </c>
      <c r="AS64" s="9">
        <v>44.680759319246199</v>
      </c>
      <c r="AT64" s="9">
        <v>53.476349209953597</v>
      </c>
      <c r="AU64" s="9">
        <v>112.449819299052</v>
      </c>
      <c r="AV64" s="9">
        <f t="shared" si="1"/>
        <v>2.0509587618838108</v>
      </c>
      <c r="AW64" s="9">
        <v>147.23822399047199</v>
      </c>
      <c r="AX64" s="9">
        <f t="shared" si="2"/>
        <v>2.1680205702810835</v>
      </c>
      <c r="AY64" s="9">
        <v>3.1856288495258398</v>
      </c>
      <c r="AZ64" s="9">
        <v>4.1711612968412402</v>
      </c>
      <c r="BA64" s="9">
        <v>44.680759319246199</v>
      </c>
      <c r="BB64" s="9">
        <v>53.476349209953597</v>
      </c>
      <c r="BC64" s="9" t="s">
        <v>123</v>
      </c>
      <c r="BD64" s="9" t="s">
        <v>123</v>
      </c>
    </row>
    <row r="65" spans="1:56" ht="31.5" x14ac:dyDescent="0.25">
      <c r="A65" s="6" t="s">
        <v>119</v>
      </c>
      <c r="B65" s="25" t="s">
        <v>125</v>
      </c>
      <c r="C65" s="7" t="s">
        <v>278</v>
      </c>
      <c r="D65" s="8" t="s">
        <v>124</v>
      </c>
      <c r="E65" s="9">
        <v>2</v>
      </c>
      <c r="F65" s="9">
        <v>1</v>
      </c>
      <c r="G65" s="9">
        <v>34</v>
      </c>
      <c r="H65" s="9">
        <v>54</v>
      </c>
      <c r="I65" s="9">
        <v>14.090731531232199</v>
      </c>
      <c r="J65" s="9">
        <v>151840</v>
      </c>
      <c r="K65" s="9">
        <v>29072</v>
      </c>
      <c r="L65" s="9">
        <v>123196.0588</v>
      </c>
      <c r="M65" s="9">
        <v>35928.271090000002</v>
      </c>
      <c r="N65" s="9">
        <v>252.23672730000001</v>
      </c>
      <c r="O65" s="9">
        <v>2.6967014599999999</v>
      </c>
      <c r="P65" s="9">
        <v>1E-8</v>
      </c>
      <c r="Q65" s="9">
        <v>9.3144699999999996E-4</v>
      </c>
      <c r="R65" s="9">
        <v>2.6820910999999999E-2</v>
      </c>
      <c r="S65" s="9">
        <v>34</v>
      </c>
      <c r="T65" s="9">
        <v>1</v>
      </c>
      <c r="U65" s="9">
        <v>15.467690299999999</v>
      </c>
      <c r="V65" s="9">
        <v>6.7457602120000004</v>
      </c>
      <c r="W65" s="9">
        <v>270802</v>
      </c>
      <c r="X65" s="9">
        <v>13.461502550000001</v>
      </c>
      <c r="Y65" s="9">
        <v>533</v>
      </c>
      <c r="Z65" s="9">
        <v>5.8384869479999999</v>
      </c>
      <c r="AA65" s="9">
        <v>228</v>
      </c>
      <c r="AB65" s="9">
        <v>13</v>
      </c>
      <c r="AC65" s="9">
        <v>4.8376155330555497E-2</v>
      </c>
      <c r="AD65" s="9">
        <v>308.56571578979401</v>
      </c>
      <c r="AE65" s="9">
        <v>3.9513854980468701</v>
      </c>
      <c r="AF65" s="9">
        <v>-1723.5219631284201</v>
      </c>
      <c r="AG65" s="9">
        <v>-1723.5219631284201</v>
      </c>
      <c r="AH65" s="9">
        <v>1.22061578038388</v>
      </c>
      <c r="AI65" s="9">
        <v>-1723.52222226094</v>
      </c>
      <c r="AJ65" s="10">
        <v>8.8993606673661103E-5</v>
      </c>
      <c r="AK65" s="9">
        <v>98</v>
      </c>
      <c r="AL65" s="9">
        <v>85</v>
      </c>
      <c r="AM65" s="9">
        <v>115</v>
      </c>
      <c r="AN65" s="9">
        <v>0.73001512625504295</v>
      </c>
      <c r="AO65" s="9">
        <v>9.6928762120047807E-2</v>
      </c>
      <c r="AP65" s="9">
        <f t="shared" si="0"/>
        <v>-1.0135473336143428</v>
      </c>
      <c r="AQ65" s="9">
        <v>3.8415371386098002E-3</v>
      </c>
      <c r="AR65" s="9">
        <v>3.9513854980468701</v>
      </c>
      <c r="AS65" s="9">
        <v>0.54918359924955096</v>
      </c>
      <c r="AT65" s="9">
        <v>1.00525302423187</v>
      </c>
      <c r="AU65" s="9">
        <v>6.3245730984723997E-2</v>
      </c>
      <c r="AV65" s="9">
        <f t="shared" si="1"/>
        <v>-1.1989687835489493</v>
      </c>
      <c r="AW65" s="9">
        <v>0.15662747992899101</v>
      </c>
      <c r="AX65" s="9">
        <f t="shared" si="2"/>
        <v>-0.80513203963099467</v>
      </c>
      <c r="AY65" s="9">
        <v>2.5065916361897899E-3</v>
      </c>
      <c r="AZ65" s="9">
        <v>6.2075514833139197E-3</v>
      </c>
      <c r="BA65" s="9">
        <v>3.9513854980468701</v>
      </c>
      <c r="BB65" s="9">
        <v>3.9513854980468701</v>
      </c>
      <c r="BC65" s="9" t="s">
        <v>126</v>
      </c>
      <c r="BD65" s="9" t="s">
        <v>126</v>
      </c>
    </row>
    <row r="66" spans="1:56" ht="31.5" x14ac:dyDescent="0.25">
      <c r="A66" s="6" t="s">
        <v>119</v>
      </c>
      <c r="B66" s="25" t="s">
        <v>170</v>
      </c>
      <c r="C66" s="7" t="s">
        <v>279</v>
      </c>
      <c r="D66" s="8" t="s">
        <v>169</v>
      </c>
      <c r="E66" s="9">
        <v>3</v>
      </c>
      <c r="F66" s="9">
        <v>2</v>
      </c>
      <c r="G66" s="9">
        <v>9</v>
      </c>
      <c r="H66" s="9">
        <v>11</v>
      </c>
      <c r="I66" s="9">
        <v>4.5027547657803604</v>
      </c>
      <c r="J66" s="9">
        <v>911</v>
      </c>
      <c r="K66" s="9">
        <v>521</v>
      </c>
      <c r="L66" s="9">
        <v>798.11111110000002</v>
      </c>
      <c r="M66" s="9">
        <v>152.70628629999999</v>
      </c>
      <c r="N66" s="9">
        <v>13.76305045</v>
      </c>
      <c r="O66" s="9">
        <v>1.003784193</v>
      </c>
      <c r="P66" s="9">
        <v>1.16E-8</v>
      </c>
      <c r="Q66" s="9">
        <v>1.0112454E-2</v>
      </c>
      <c r="R66" s="9">
        <v>5.7742419000000003E-2</v>
      </c>
      <c r="S66" s="9">
        <v>9</v>
      </c>
      <c r="T66" s="9">
        <v>1</v>
      </c>
      <c r="U66" s="9">
        <v>5.2777369580000002</v>
      </c>
      <c r="V66" s="9">
        <v>1.763582835</v>
      </c>
      <c r="W66" s="9">
        <v>1362</v>
      </c>
      <c r="X66" s="9">
        <v>4.2007410900000002</v>
      </c>
      <c r="Y66" s="9">
        <v>45</v>
      </c>
      <c r="Z66" s="9">
        <v>3.372472192</v>
      </c>
      <c r="AA66" s="9">
        <v>30</v>
      </c>
      <c r="AB66" s="9">
        <v>40</v>
      </c>
      <c r="AC66" s="9">
        <v>1.7975662183333299E-3</v>
      </c>
      <c r="AD66" s="9">
        <v>1.3039512634277299</v>
      </c>
      <c r="AE66" s="9">
        <v>0.24646377563476499</v>
      </c>
      <c r="AF66" s="9">
        <v>-1722.88692694731</v>
      </c>
      <c r="AG66" s="9">
        <v>-1722.88692694731</v>
      </c>
      <c r="AH66" s="9">
        <v>3.7500976259444402E-2</v>
      </c>
      <c r="AI66" s="9">
        <v>-1722.8869305071601</v>
      </c>
      <c r="AJ66" s="10">
        <v>1.4157145923189899E-6</v>
      </c>
      <c r="AK66" s="9">
        <v>7</v>
      </c>
      <c r="AL66" s="9">
        <v>7</v>
      </c>
      <c r="AM66" s="9">
        <v>9</v>
      </c>
      <c r="AN66" s="9">
        <v>1.3418583340115E-2</v>
      </c>
      <c r="AO66" s="9">
        <v>4.7640129099960901E-4</v>
      </c>
      <c r="AP66" s="9">
        <f t="shared" si="0"/>
        <v>-3.3220270702932764</v>
      </c>
      <c r="AQ66" s="10">
        <v>2.2835748625493801E-5</v>
      </c>
      <c r="AR66" s="9">
        <v>0.24646377563476499</v>
      </c>
      <c r="AS66" s="9">
        <v>1.3418583340115E-2</v>
      </c>
      <c r="AT66" s="9">
        <v>2.2181739807128901E-2</v>
      </c>
      <c r="AU66" s="9">
        <v>4.7640129099960901E-4</v>
      </c>
      <c r="AV66" s="9">
        <f t="shared" si="1"/>
        <v>-3.3220270702932764</v>
      </c>
      <c r="AW66" s="9">
        <v>1.0125263590049999E-3</v>
      </c>
      <c r="AX66" s="9">
        <f t="shared" si="2"/>
        <v>-2.9945936620180724</v>
      </c>
      <c r="AY66" s="10">
        <v>2.2835748625493801E-5</v>
      </c>
      <c r="AZ66" s="10">
        <v>4.85342878949999E-5</v>
      </c>
      <c r="BA66" s="9">
        <v>0.24646377563476499</v>
      </c>
      <c r="BB66" s="9">
        <v>0.24646377563476499</v>
      </c>
      <c r="BC66" s="9" t="s">
        <v>172</v>
      </c>
      <c r="BD66" s="9" t="s">
        <v>171</v>
      </c>
    </row>
    <row r="67" spans="1:56" ht="31.5" x14ac:dyDescent="0.25">
      <c r="A67" s="6" t="s">
        <v>119</v>
      </c>
      <c r="B67" s="25" t="s">
        <v>170</v>
      </c>
      <c r="C67" s="7" t="s">
        <v>280</v>
      </c>
      <c r="D67" s="8" t="s">
        <v>173</v>
      </c>
      <c r="E67" s="9">
        <v>3</v>
      </c>
      <c r="F67" s="9">
        <v>2</v>
      </c>
      <c r="G67" s="9">
        <v>34</v>
      </c>
      <c r="H67" s="9">
        <v>53</v>
      </c>
      <c r="I67" s="9">
        <v>14.6470340319995</v>
      </c>
      <c r="J67" s="9">
        <v>174262</v>
      </c>
      <c r="K67" s="9">
        <v>35668</v>
      </c>
      <c r="L67" s="9">
        <v>144188.5882</v>
      </c>
      <c r="M67" s="9">
        <v>41245.363519999999</v>
      </c>
      <c r="N67" s="9">
        <v>274.61047969999998</v>
      </c>
      <c r="O67" s="9">
        <v>2.6855129440000001</v>
      </c>
      <c r="P67" s="9">
        <v>1.0099999999999999E-8</v>
      </c>
      <c r="Q67" s="9">
        <v>8.7497599999999997E-4</v>
      </c>
      <c r="R67" s="9">
        <v>2.4843402000000001E-2</v>
      </c>
      <c r="S67" s="9">
        <v>34</v>
      </c>
      <c r="T67" s="9">
        <v>1</v>
      </c>
      <c r="U67" s="9">
        <v>15.620288739999999</v>
      </c>
      <c r="V67" s="9">
        <v>6.6968989800000003</v>
      </c>
      <c r="W67" s="9">
        <v>313850</v>
      </c>
      <c r="X67" s="9">
        <v>14.518050110000001</v>
      </c>
      <c r="Y67" s="9">
        <v>535</v>
      </c>
      <c r="Z67" s="9">
        <v>5.8286055660000002</v>
      </c>
      <c r="AA67" s="9">
        <v>150</v>
      </c>
      <c r="AB67" s="9">
        <v>40</v>
      </c>
      <c r="AC67" s="9">
        <v>7.1233013639444398E-2</v>
      </c>
      <c r="AD67" s="9">
        <v>159.39772033691401</v>
      </c>
      <c r="AE67" s="9">
        <v>3.0296211242675701</v>
      </c>
      <c r="AF67" s="9">
        <v>-1723.0210480396499</v>
      </c>
      <c r="AG67" s="9">
        <v>-1723.0210480396499</v>
      </c>
      <c r="AH67" s="9">
        <v>2.05290038997944</v>
      </c>
      <c r="AI67" s="9">
        <v>-1723.0226563676399</v>
      </c>
      <c r="AJ67" s="9">
        <v>3.2834229853732899E-4</v>
      </c>
      <c r="AK67" s="9">
        <v>193</v>
      </c>
      <c r="AL67" s="9">
        <v>187</v>
      </c>
      <c r="AM67" s="9">
        <v>199</v>
      </c>
      <c r="AN67" s="9">
        <v>5.0155714336819104</v>
      </c>
      <c r="AO67" s="9">
        <v>4.3728645685583496</v>
      </c>
      <c r="AP67" s="9">
        <f t="shared" ref="AP67:AP68" si="3">LOG(AO67)</f>
        <v>0.6407660270730563</v>
      </c>
      <c r="AQ67" s="9">
        <v>0.15173279861799799</v>
      </c>
      <c r="AR67" s="9">
        <v>5.0155714336819104</v>
      </c>
      <c r="AS67" s="9">
        <v>4.7085698264227904</v>
      </c>
      <c r="AT67" s="9">
        <v>5.3322678285386802</v>
      </c>
      <c r="AU67" s="9">
        <v>3.97757996706807</v>
      </c>
      <c r="AV67" s="9">
        <f t="shared" ref="AV67:AV68" si="4">LOG(AU67)</f>
        <v>0.59961891965923209</v>
      </c>
      <c r="AW67" s="9">
        <v>4.7935065956656597</v>
      </c>
      <c r="AX67" s="9">
        <f t="shared" ref="AX67:AX68" si="5">LOG(AW67)</f>
        <v>0.68065332927885525</v>
      </c>
      <c r="AY67" s="9">
        <v>0.138016929330398</v>
      </c>
      <c r="AZ67" s="9">
        <v>0.166328538090071</v>
      </c>
      <c r="BA67" s="9">
        <v>4.7085698264227904</v>
      </c>
      <c r="BB67" s="9">
        <v>5.3322678285386802</v>
      </c>
      <c r="BC67" s="9" t="s">
        <v>175</v>
      </c>
      <c r="BD67" s="9" t="s">
        <v>174</v>
      </c>
    </row>
    <row r="68" spans="1:56" ht="31.5" x14ac:dyDescent="0.25">
      <c r="A68" s="6" t="s">
        <v>119</v>
      </c>
      <c r="B68" s="25" t="s">
        <v>125</v>
      </c>
      <c r="C68" s="7" t="s">
        <v>281</v>
      </c>
      <c r="D68" s="8" t="s">
        <v>176</v>
      </c>
      <c r="E68" s="9">
        <v>2</v>
      </c>
      <c r="F68" s="9">
        <v>1</v>
      </c>
      <c r="G68" s="9">
        <v>9</v>
      </c>
      <c r="H68" s="9">
        <v>12</v>
      </c>
      <c r="I68" s="9">
        <v>4.2686715597469904</v>
      </c>
      <c r="J68" s="9">
        <v>731</v>
      </c>
      <c r="K68" s="9">
        <v>409</v>
      </c>
      <c r="L68" s="9">
        <v>633.44444439999995</v>
      </c>
      <c r="M68" s="9">
        <v>119.79900859999999</v>
      </c>
      <c r="N68" s="9">
        <v>13.778420329999999</v>
      </c>
      <c r="O68" s="9">
        <v>1.0235621210000001</v>
      </c>
      <c r="P68" s="9">
        <v>1.22E-8</v>
      </c>
      <c r="Q68" s="9">
        <v>1.2537234E-2</v>
      </c>
      <c r="R68" s="9">
        <v>6.5199785999999996E-2</v>
      </c>
      <c r="S68" s="9">
        <v>9</v>
      </c>
      <c r="T68" s="9">
        <v>1</v>
      </c>
      <c r="U68" s="9">
        <v>5.1874431300000001</v>
      </c>
      <c r="V68" s="9">
        <v>1.833711887</v>
      </c>
      <c r="W68" s="9">
        <v>1100</v>
      </c>
      <c r="X68" s="9">
        <v>3.848558572</v>
      </c>
      <c r="Y68" s="9">
        <v>45</v>
      </c>
      <c r="Z68" s="9">
        <v>3.3762819890000002</v>
      </c>
      <c r="AA68" s="9">
        <v>25</v>
      </c>
      <c r="AB68" s="9">
        <v>40</v>
      </c>
      <c r="AC68" s="9">
        <v>1.6470975188888799E-3</v>
      </c>
      <c r="AD68" s="9">
        <v>0.81914138793945301</v>
      </c>
      <c r="AE68" s="9">
        <v>0.15055465698242099</v>
      </c>
      <c r="AF68" s="9">
        <v>-1723.45535706228</v>
      </c>
      <c r="AG68" s="9">
        <v>-1723.45535706228</v>
      </c>
      <c r="AH68" s="9">
        <v>2.91759886488888E-2</v>
      </c>
      <c r="AI68" s="9">
        <v>-1723.4553571414999</v>
      </c>
      <c r="AJ68" s="10">
        <v>1.7626517598658599E-8</v>
      </c>
      <c r="AK68" s="9">
        <v>7</v>
      </c>
      <c r="AL68" s="9">
        <v>6</v>
      </c>
      <c r="AM68" s="9">
        <v>9</v>
      </c>
      <c r="AN68" s="9">
        <v>1.18034851074218E-2</v>
      </c>
      <c r="AO68" s="9">
        <v>6.4047130282040795E-4</v>
      </c>
      <c r="AP68" s="9">
        <f t="shared" si="3"/>
        <v>-3.1935003246327223</v>
      </c>
      <c r="AQ68" s="10">
        <v>3.6157084734648802E-5</v>
      </c>
      <c r="AR68" s="9">
        <v>0.15055465698242099</v>
      </c>
      <c r="AS68" s="9">
        <v>8.6719482421874997E-3</v>
      </c>
      <c r="AT68" s="9">
        <v>1.9511883544921799E-2</v>
      </c>
      <c r="AU68" s="9">
        <v>4.0332886708223901E-4</v>
      </c>
      <c r="AV68" s="9">
        <f t="shared" si="4"/>
        <v>-3.3943406935245624</v>
      </c>
      <c r="AW68" s="9">
        <v>1.36123492640255E-3</v>
      </c>
      <c r="AX68" s="9">
        <f t="shared" si="5"/>
        <v>-2.8660669163575205</v>
      </c>
      <c r="AY68" s="10">
        <v>2.276947610112E-5</v>
      </c>
      <c r="AZ68" s="10">
        <v>7.6846981841279994E-5</v>
      </c>
      <c r="BA68" s="9">
        <v>0.15055465698242099</v>
      </c>
      <c r="BB68" s="9">
        <v>0.15055465698242099</v>
      </c>
      <c r="BC68" s="9" t="s">
        <v>178</v>
      </c>
      <c r="BD68" s="9"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Cantin</dc:creator>
  <cp:lastModifiedBy>Penuel, John (US) - IC</cp:lastModifiedBy>
  <dcterms:created xsi:type="dcterms:W3CDTF">2024-12-09T22:13:51Z</dcterms:created>
  <dcterms:modified xsi:type="dcterms:W3CDTF">2026-02-24T16:44:44Z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2026-02-23T14:57:14Z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048b3834-b4c1-4908-b0be-b1daf96abd4b</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